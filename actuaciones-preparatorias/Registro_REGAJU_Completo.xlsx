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REGAJU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49" fontId="4" fillId="3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49" fontId="4" fillId="4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16" customWidth="1" min="4" max="4"/>
    <col width="16" customWidth="1" min="5" max="5"/>
    <col width="30" customWidth="1" min="6" max="6"/>
    <col width="25" customWidth="1" min="7" max="7"/>
    <col width="35" customWidth="1" min="8" max="8"/>
    <col width="14" customWidth="1" min="9" max="9"/>
  </cols>
  <sheetData>
    <row r="1">
      <c r="A1" s="1" t="inlineStr">
        <is>
          <t>REGISTRO DE INSTITUCIONES ARBITRALES Y CENTROS DE ADMINISTRACIÓN DE JUNTAS DE PREVENCIÓN Y RESOLUCIÓN DE DISPUTAS (REGAJU)</t>
        </is>
      </c>
    </row>
    <row r="2">
      <c r="A2" s="2" t="inlineStr">
        <is>
          <t>Ministerio de Economía y Finanzas - GECE / Organismo Especializado para las Contrataciones Públicas Eficientes</t>
        </is>
      </c>
    </row>
    <row r="4" ht="40" customHeight="1">
      <c r="A4" s="3" t="inlineStr">
        <is>
          <t>N°</t>
        </is>
      </c>
      <c r="B4" s="3" t="inlineStr">
        <is>
          <t>Fecha de Inscripción</t>
        </is>
      </c>
      <c r="C4" s="3" t="inlineStr">
        <is>
          <t>Razón Social</t>
        </is>
      </c>
      <c r="D4" s="3" t="inlineStr">
        <is>
          <t>Institución Arbitral (IA) o Centro de Administración de Juntas de Prevención y Resolución de Disputas (CAJPRD)</t>
        </is>
      </c>
      <c r="E4" s="3" t="inlineStr">
        <is>
          <t>Registro Único de Contribuyente (RUC)</t>
        </is>
      </c>
      <c r="F4" s="3" t="inlineStr">
        <is>
          <t>Tipo de Registro</t>
        </is>
      </c>
      <c r="G4" s="3" t="inlineStr">
        <is>
          <t>Número de Constancia de Registro de Inscripción</t>
        </is>
      </c>
      <c r="H4" s="3" t="inlineStr">
        <is>
          <t>Ubicación de la sede autorizada conforme a la Licencia Municipal</t>
        </is>
      </c>
      <c r="I4" s="3" t="inlineStr">
        <is>
          <t>Estado</t>
        </is>
      </c>
    </row>
    <row r="5" ht="25" customHeight="1">
      <c r="A5" s="4" t="n">
        <v>1</v>
      </c>
      <c r="B5" s="5" t="inlineStr">
        <is>
          <t>26/06/2025</t>
        </is>
      </c>
      <c r="C5" s="6" t="inlineStr">
        <is>
          <t>CEAR LATINOAMERICANO Centro de Arbitraje Latinoamericano e Investigaciones Jurídicas S.A.C.</t>
        </is>
      </c>
      <c r="D5" s="5" t="inlineStr">
        <is>
          <t>IA</t>
        </is>
      </c>
      <c r="E5" s="7" t="inlineStr">
        <is>
          <t>20601673810</t>
        </is>
      </c>
      <c r="F5" s="6" t="inlineStr">
        <is>
          <t>Contratos con montos originales que superen las 2 000 UITS</t>
        </is>
      </c>
      <c r="G5" s="5" t="inlineStr">
        <is>
          <t>IA-B-000002-2025</t>
        </is>
      </c>
      <c r="H5" s="6" t="inlineStr">
        <is>
          <t>Lima/Lima/Jesús María</t>
        </is>
      </c>
      <c r="I5" s="5" t="inlineStr">
        <is>
          <t>Habilitado</t>
        </is>
      </c>
    </row>
    <row r="6" ht="25" customHeight="1">
      <c r="A6" s="8" t="n">
        <v>2</v>
      </c>
      <c r="B6" s="9" t="inlineStr">
        <is>
          <t>26/06/2025</t>
        </is>
      </c>
      <c r="C6" s="10" t="inlineStr">
        <is>
          <t>CEAR LATINOAMERICANO Centro de Arbitraje Latinoamericano e Investigaciones Jurídicas S.A.C.</t>
        </is>
      </c>
      <c r="D6" s="9" t="inlineStr">
        <is>
          <t>CAJPRD</t>
        </is>
      </c>
      <c r="E6" s="11" t="inlineStr">
        <is>
          <t>20601673810</t>
        </is>
      </c>
      <c r="F6" s="10" t="inlineStr">
        <is>
          <t>Recién constituidas</t>
        </is>
      </c>
      <c r="G6" s="9" t="inlineStr">
        <is>
          <t>CAJPRD-C-000002-2025</t>
        </is>
      </c>
      <c r="H6" s="10" t="inlineStr">
        <is>
          <t>Lima/Lima/Jesús María</t>
        </is>
      </c>
      <c r="I6" s="9" t="inlineStr">
        <is>
          <t>Habilitado</t>
        </is>
      </c>
    </row>
    <row r="7" ht="25" customHeight="1">
      <c r="A7" s="4" t="n">
        <v>3</v>
      </c>
      <c r="B7" s="5" t="inlineStr">
        <is>
          <t>15/09/2025</t>
        </is>
      </c>
      <c r="C7" s="6" t="inlineStr">
        <is>
          <t>Centro de Arbitraje y Resolución de Disputas del Centro del Perú S.A.C.</t>
        </is>
      </c>
      <c r="D7" s="5" t="inlineStr">
        <is>
          <t>IA</t>
        </is>
      </c>
      <c r="E7" s="7" t="inlineStr">
        <is>
          <t>20613290096</t>
        </is>
      </c>
      <c r="F7" s="6" t="inlineStr">
        <is>
          <t>Recién constituidas</t>
        </is>
      </c>
      <c r="G7" s="5" t="inlineStr">
        <is>
          <t>IA-C-000003-2025</t>
        </is>
      </c>
      <c r="H7" s="6" t="inlineStr">
        <is>
          <t>Lima/Lima/ Surquillo</t>
        </is>
      </c>
      <c r="I7" s="5" t="inlineStr">
        <is>
          <t>Habilitado</t>
        </is>
      </c>
    </row>
    <row r="8" ht="25" customHeight="1">
      <c r="A8" s="8" t="n">
        <v>4</v>
      </c>
      <c r="B8" s="9" t="inlineStr">
        <is>
          <t>17/09/2025</t>
        </is>
      </c>
      <c r="C8" s="10" t="inlineStr">
        <is>
          <t>Centro de Arbitraje Comercial Inmobiliario S.A.C.</t>
        </is>
      </c>
      <c r="D8" s="9" t="inlineStr">
        <is>
          <t>IA</t>
        </is>
      </c>
      <c r="E8" s="11" t="inlineStr">
        <is>
          <t>20609725622</t>
        </is>
      </c>
      <c r="F8" s="10" t="inlineStr">
        <is>
          <t>Recién constituidas</t>
        </is>
      </c>
      <c r="G8" s="9" t="inlineStr">
        <is>
          <t>IA-C-000004-2025</t>
        </is>
      </c>
      <c r="H8" s="10" t="inlineStr">
        <is>
          <t>Huánuco/Huánuco/ Huánuco</t>
        </is>
      </c>
      <c r="I8" s="9" t="inlineStr">
        <is>
          <t>Habilitado</t>
        </is>
      </c>
    </row>
    <row r="9" ht="25" customHeight="1">
      <c r="A9" s="4" t="n">
        <v>5</v>
      </c>
      <c r="B9" s="5" t="inlineStr">
        <is>
          <t>24/09/2025</t>
        </is>
      </c>
      <c r="C9" s="6" t="inlineStr">
        <is>
          <t>Asociación Civil Parsum Iuris Perú - A.C.P.I.P</t>
        </is>
      </c>
      <c r="D9" s="5" t="inlineStr">
        <is>
          <t>IA</t>
        </is>
      </c>
      <c r="E9" s="7" t="inlineStr">
        <is>
          <t>20563552191</t>
        </is>
      </c>
      <c r="F9" s="6" t="inlineStr">
        <is>
          <t>Contratos con montos originales que superen las 2 000 UITS</t>
        </is>
      </c>
      <c r="G9" s="5" t="inlineStr">
        <is>
          <t>IA-B-000005-2025</t>
        </is>
      </c>
      <c r="H9" s="6" t="inlineStr">
        <is>
          <t>Ayacucho/ Huamanga/ Huamanga</t>
        </is>
      </c>
      <c r="I9" s="5" t="inlineStr">
        <is>
          <t>Habilitado</t>
        </is>
      </c>
    </row>
    <row r="10" ht="25" customHeight="1">
      <c r="A10" s="8" t="n">
        <v>6</v>
      </c>
      <c r="B10" s="9" t="inlineStr">
        <is>
          <t>25/09/2025</t>
        </is>
      </c>
      <c r="C10" s="10" t="inlineStr">
        <is>
          <t>Asociación Civil Parsum Iuris Perú – A.C.P.I.P</t>
        </is>
      </c>
      <c r="D10" s="9" t="inlineStr">
        <is>
          <t>CAJPRD</t>
        </is>
      </c>
      <c r="E10" s="11" t="inlineStr">
        <is>
          <t>20563552191</t>
        </is>
      </c>
      <c r="F10" s="10" t="inlineStr">
        <is>
          <t>Recién constituidas</t>
        </is>
      </c>
      <c r="G10" s="9" t="inlineStr">
        <is>
          <t>CAJPRD-C-000003-2025</t>
        </is>
      </c>
      <c r="H10" s="10" t="inlineStr">
        <is>
          <t>Ayacucho/ Huamanga/ Huamanga</t>
        </is>
      </c>
      <c r="I10" s="9" t="inlineStr">
        <is>
          <t>Habilitado</t>
        </is>
      </c>
    </row>
    <row r="11" ht="25" customHeight="1">
      <c r="A11" s="4" t="n">
        <v>7</v>
      </c>
      <c r="B11" s="5" t="inlineStr">
        <is>
          <t>26/09/2025</t>
        </is>
      </c>
      <c r="C11" s="6" t="inlineStr">
        <is>
          <t>Arbitrare Soluciones Legales y Arbitrales S.A.C.</t>
        </is>
      </c>
      <c r="D11" s="5" t="inlineStr">
        <is>
          <t>IA</t>
        </is>
      </c>
      <c r="E11" s="7" t="inlineStr">
        <is>
          <t>20477731482</t>
        </is>
      </c>
      <c r="F11" s="6" t="inlineStr">
        <is>
          <t>Contratos con montos originales que superen las 2 000 UITS</t>
        </is>
      </c>
      <c r="G11" s="5" t="inlineStr">
        <is>
          <t>IA-B-000006-2025</t>
        </is>
      </c>
      <c r="H11" s="6" t="inlineStr">
        <is>
          <t>La Libertad/Trujillo/ Huanchaco</t>
        </is>
      </c>
      <c r="I11" s="5" t="inlineStr">
        <is>
          <t>Habilitado</t>
        </is>
      </c>
    </row>
    <row r="12" ht="25" customHeight="1">
      <c r="A12" s="8" t="n">
        <v>8</v>
      </c>
      <c r="B12" s="9" t="inlineStr">
        <is>
          <t>02/10/2025</t>
        </is>
      </c>
      <c r="C12" s="10" t="inlineStr">
        <is>
          <t>Lidera Centro de Arbitraje Conciliación y Dispute of Boards S.A.C.</t>
        </is>
      </c>
      <c r="D12" s="9" t="inlineStr">
        <is>
          <t>IA</t>
        </is>
      </c>
      <c r="E12" s="11" t="inlineStr">
        <is>
          <t>20608633635</t>
        </is>
      </c>
      <c r="F12" s="10" t="inlineStr">
        <is>
          <t>Recién constituidas</t>
        </is>
      </c>
      <c r="G12" s="9" t="inlineStr">
        <is>
          <t>IA-C-000007-2025</t>
        </is>
      </c>
      <c r="H12" s="10" t="inlineStr">
        <is>
          <t>La Libertad/Trujillo/ Víctor Larco Herrera</t>
        </is>
      </c>
      <c r="I12" s="9" t="inlineStr">
        <is>
          <t>Habilitado</t>
        </is>
      </c>
    </row>
    <row r="13" ht="25" customHeight="1">
      <c r="A13" s="4" t="n">
        <v>9</v>
      </c>
      <c r="B13" s="5" t="inlineStr">
        <is>
          <t>07/10/2025</t>
        </is>
      </c>
      <c r="C13" s="6" t="inlineStr">
        <is>
          <t>Lidera Centro de Arbitraje Conciliación y Dispute of Boards S.A.C.</t>
        </is>
      </c>
      <c r="D13" s="5" t="inlineStr">
        <is>
          <t>CAJPRD</t>
        </is>
      </c>
      <c r="E13" s="7" t="inlineStr">
        <is>
          <t>20608633635</t>
        </is>
      </c>
      <c r="F13" s="6" t="inlineStr">
        <is>
          <t>Recién constituidas</t>
        </is>
      </c>
      <c r="G13" s="5" t="inlineStr">
        <is>
          <t>CAJPRD-C-000004-2025</t>
        </is>
      </c>
      <c r="H13" s="6" t="inlineStr">
        <is>
          <t>La Libertad/Trujillo/ Víctor Larco Herrera</t>
        </is>
      </c>
      <c r="I13" s="5" t="inlineStr">
        <is>
          <t>Habilitado</t>
        </is>
      </c>
    </row>
    <row r="14" ht="25" customHeight="1">
      <c r="A14" s="8" t="n">
        <v>10</v>
      </c>
      <c r="B14" s="9" t="inlineStr">
        <is>
          <t>31/10/2025</t>
        </is>
      </c>
      <c r="C14" s="10" t="inlineStr">
        <is>
          <t>The Ankawa Global Group Sociedad Anonima Cerrada</t>
        </is>
      </c>
      <c r="D14" s="9" t="inlineStr">
        <is>
          <t>IA</t>
        </is>
      </c>
      <c r="E14" s="11" t="inlineStr">
        <is>
          <t>20605105514</t>
        </is>
      </c>
      <c r="F14" s="10" t="inlineStr">
        <is>
          <t>Contratos con montos originales que superen las 2 000 UITS</t>
        </is>
      </c>
      <c r="G14" s="9" t="inlineStr">
        <is>
          <t>IA-B-000008-2025</t>
        </is>
      </c>
      <c r="H14" s="10" t="inlineStr">
        <is>
          <t>Cusco/Cusco/ Wanchaq</t>
        </is>
      </c>
      <c r="I14" s="9" t="inlineStr">
        <is>
          <t>Habilitado</t>
        </is>
      </c>
    </row>
    <row r="15" ht="25" customHeight="1">
      <c r="A15" s="4" t="n">
        <v>11</v>
      </c>
      <c r="B15" s="5" t="inlineStr">
        <is>
          <t>04/11/2025</t>
        </is>
      </c>
      <c r="C15" s="6" t="inlineStr">
        <is>
          <t>Centro de Arbitraje y Resolución de Disputas Amazonas S.A.C.</t>
        </is>
      </c>
      <c r="D15" s="5" t="inlineStr">
        <is>
          <t>IA</t>
        </is>
      </c>
      <c r="E15" s="7" t="inlineStr">
        <is>
          <t>20611973692</t>
        </is>
      </c>
      <c r="F15" s="6" t="inlineStr">
        <is>
          <t>Recién constituidas</t>
        </is>
      </c>
      <c r="G15" s="5" t="inlineStr">
        <is>
          <t>IA-C-000009-2025</t>
        </is>
      </c>
      <c r="H15" s="6" t="inlineStr">
        <is>
          <t>Amazonas/ Utcubamba/Bagua Grande</t>
        </is>
      </c>
      <c r="I15" s="5" t="inlineStr">
        <is>
          <t>Habilitado</t>
        </is>
      </c>
    </row>
    <row r="16" ht="25" customHeight="1">
      <c r="A16" s="8" t="n">
        <v>12</v>
      </c>
      <c r="B16" s="9" t="inlineStr">
        <is>
          <t>04/11/2025</t>
        </is>
      </c>
      <c r="C16" s="10" t="inlineStr">
        <is>
          <t>MARC PERÚ Asociación para la Prevención y Solución de Conflictos</t>
        </is>
      </c>
      <c r="D16" s="9" t="inlineStr">
        <is>
          <t>IA</t>
        </is>
      </c>
      <c r="E16" s="11" t="inlineStr">
        <is>
          <t>20426255317</t>
        </is>
      </c>
      <c r="F16" s="10" t="inlineStr">
        <is>
          <t>Mayor envergadura</t>
        </is>
      </c>
      <c r="G16" s="9" t="inlineStr">
        <is>
          <t>IA-D-000010-2025</t>
        </is>
      </c>
      <c r="H16" s="10" t="inlineStr">
        <is>
          <t>Lima/Lima/ Miraflores</t>
        </is>
      </c>
      <c r="I16" s="9" t="inlineStr">
        <is>
          <t>Habilitado</t>
        </is>
      </c>
    </row>
    <row r="17" ht="25" customHeight="1">
      <c r="A17" s="4" t="n">
        <v>13</v>
      </c>
      <c r="B17" s="5" t="inlineStr">
        <is>
          <t>06/11/2025</t>
        </is>
      </c>
      <c r="C17" s="6" t="inlineStr">
        <is>
          <t>The Ankawa Global Group Sociedad Anonima Cerrada</t>
        </is>
      </c>
      <c r="D17" s="5" t="inlineStr">
        <is>
          <t>CAJPRD</t>
        </is>
      </c>
      <c r="E17" s="7" t="inlineStr">
        <is>
          <t>20605105514</t>
        </is>
      </c>
      <c r="F17" s="6" t="inlineStr">
        <is>
          <t>Contratos con montos originales que superen las 2 000 UITS</t>
        </is>
      </c>
      <c r="G17" s="5" t="inlineStr">
        <is>
          <t>CAJPRD-B-000005-2025</t>
        </is>
      </c>
      <c r="H17" s="6" t="inlineStr">
        <is>
          <t>Cusco/Cusco/ Wanchaq</t>
        </is>
      </c>
      <c r="I17" s="5" t="inlineStr">
        <is>
          <t>Habilitado</t>
        </is>
      </c>
    </row>
    <row r="18" ht="25" customHeight="1">
      <c r="A18" s="8" t="n">
        <v>14</v>
      </c>
      <c r="B18" s="9" t="inlineStr">
        <is>
          <t>06/11/2025</t>
        </is>
      </c>
      <c r="C18" s="10" t="inlineStr">
        <is>
          <t>MCH Abogados S.A.C.</t>
        </is>
      </c>
      <c r="D18" s="9" t="inlineStr">
        <is>
          <t>IA</t>
        </is>
      </c>
      <c r="E18" s="11" t="inlineStr">
        <is>
          <t>20613091158</t>
        </is>
      </c>
      <c r="F18" s="10" t="inlineStr">
        <is>
          <t>Recién constituidas</t>
        </is>
      </c>
      <c r="G18" s="9" t="inlineStr">
        <is>
          <t>IA-C-000011-2025</t>
        </is>
      </c>
      <c r="H18" s="10" t="inlineStr">
        <is>
          <t>La Libertad/Trujillo/ Huanchaco</t>
        </is>
      </c>
      <c r="I18" s="9" t="inlineStr">
        <is>
          <t>Habilitado</t>
        </is>
      </c>
    </row>
    <row r="19" ht="25" customHeight="1">
      <c r="A19" s="4" t="n">
        <v>15</v>
      </c>
      <c r="B19" s="5" t="inlineStr">
        <is>
          <t>07/11/2025</t>
        </is>
      </c>
      <c r="C19" s="6" t="inlineStr">
        <is>
          <t>Centro de Arbitraje de la Cámara de Comercio e Industria de Arequipa</t>
        </is>
      </c>
      <c r="D19" s="5" t="inlineStr">
        <is>
          <t>IA</t>
        </is>
      </c>
      <c r="E19" s="7" t="inlineStr">
        <is>
          <t>20124994340</t>
        </is>
      </c>
      <c r="F19" s="6" t="inlineStr">
        <is>
          <t>Mayor envergadura</t>
        </is>
      </c>
      <c r="G19" s="5" t="inlineStr">
        <is>
          <t>IA-D-000012-2025</t>
        </is>
      </c>
      <c r="H19" s="6" t="inlineStr">
        <is>
          <t>Arequipa/Arequipa/ Yanahuara</t>
        </is>
      </c>
      <c r="I19" s="5" t="inlineStr">
        <is>
          <t>Habilitado</t>
        </is>
      </c>
    </row>
    <row r="20" ht="25" customHeight="1">
      <c r="A20" s="8" t="n">
        <v>16</v>
      </c>
      <c r="B20" s="9" t="inlineStr">
        <is>
          <t>13/11/2025</t>
        </is>
      </c>
      <c r="C20" s="10" t="inlineStr">
        <is>
          <t>Asociación para la Promoción Cultural de los Mecanismos Alternativos de Solución de Controversias</t>
        </is>
      </c>
      <c r="D20" s="9" t="inlineStr">
        <is>
          <t>IA</t>
        </is>
      </c>
      <c r="E20" s="11" t="inlineStr">
        <is>
          <t>20611086378</t>
        </is>
      </c>
      <c r="F20" s="10" t="inlineStr">
        <is>
          <t>Recién constituidas</t>
        </is>
      </c>
      <c r="G20" s="9" t="inlineStr">
        <is>
          <t>IA-C-000013-2025</t>
        </is>
      </c>
      <c r="H20" s="10" t="inlineStr">
        <is>
          <t>Lima/Lima/ Magdalena del Mar</t>
        </is>
      </c>
      <c r="I20" s="9" t="inlineStr">
        <is>
          <t>Habilitado</t>
        </is>
      </c>
    </row>
    <row r="21" ht="25" customHeight="1">
      <c r="A21" s="4" t="n">
        <v>17</v>
      </c>
      <c r="B21" s="5" t="inlineStr">
        <is>
          <t>20/11/2025</t>
        </is>
      </c>
      <c r="C21" s="6" t="inlineStr">
        <is>
          <t>Fe sin tribunales - Centro de Conciliación - Arbitraje &amp; Dispute Boards - Perú S.A.C.</t>
        </is>
      </c>
      <c r="D21" s="5" t="inlineStr">
        <is>
          <t>IA</t>
        </is>
      </c>
      <c r="E21" s="7" t="inlineStr">
        <is>
          <t>20603472439</t>
        </is>
      </c>
      <c r="F21" s="6" t="inlineStr">
        <is>
          <t>Recién constituidas</t>
        </is>
      </c>
      <c r="G21" s="5" t="inlineStr">
        <is>
          <t>IA-D-000014-2025</t>
        </is>
      </c>
      <c r="H21" s="6" t="inlineStr">
        <is>
          <t>Cajamarca/Chota/ Chota</t>
        </is>
      </c>
      <c r="I21" s="5" t="inlineStr">
        <is>
          <t>Habilitado</t>
        </is>
      </c>
    </row>
    <row r="22" ht="25" customHeight="1">
      <c r="A22" s="8" t="n">
        <v>18</v>
      </c>
      <c r="B22" s="9" t="inlineStr">
        <is>
          <t>20/11/2025</t>
        </is>
      </c>
      <c r="C22" s="10" t="inlineStr">
        <is>
          <t>Asociación para la Promoción Cultural de los Mecanismos Alternativos de Solución de Controversias</t>
        </is>
      </c>
      <c r="D22" s="9" t="inlineStr">
        <is>
          <t>CAJPRD</t>
        </is>
      </c>
      <c r="E22" s="11" t="inlineStr">
        <is>
          <t>20611086378</t>
        </is>
      </c>
      <c r="F22" s="10" t="inlineStr">
        <is>
          <t>Recién constituidas</t>
        </is>
      </c>
      <c r="G22" s="9" t="inlineStr">
        <is>
          <t>CAJPRD-C-000006-2025</t>
        </is>
      </c>
      <c r="H22" s="10" t="inlineStr">
        <is>
          <t>Lima/Lima/Magdalena del Mar</t>
        </is>
      </c>
      <c r="I22" s="9" t="inlineStr">
        <is>
          <t>Habilitado</t>
        </is>
      </c>
    </row>
    <row r="23" ht="25" customHeight="1">
      <c r="A23" s="4" t="n">
        <v>19</v>
      </c>
      <c r="B23" s="5" t="inlineStr">
        <is>
          <t>20/11/2025</t>
        </is>
      </c>
      <c r="C23" s="6" t="inlineStr">
        <is>
          <t>Fe sin tribunales - Centro de Conciliación - Arbitraje &amp; Dispute Boards - Perú S.A.C.</t>
        </is>
      </c>
      <c r="D23" s="5" t="inlineStr">
        <is>
          <t>CAJPRD</t>
        </is>
      </c>
      <c r="E23" s="7" t="inlineStr">
        <is>
          <t>20603472439</t>
        </is>
      </c>
      <c r="F23" s="6" t="inlineStr">
        <is>
          <t>Recién constituidas</t>
        </is>
      </c>
      <c r="G23" s="5" t="inlineStr">
        <is>
          <t>CAJPRD-C-000007-2025</t>
        </is>
      </c>
      <c r="H23" s="6" t="inlineStr">
        <is>
          <t>Cajamarca/Chota/ Chota</t>
        </is>
      </c>
      <c r="I23" s="5" t="inlineStr">
        <is>
          <t>Habilitado</t>
        </is>
      </c>
    </row>
    <row r="24" ht="25" customHeight="1">
      <c r="A24" s="8" t="n">
        <v>20</v>
      </c>
      <c r="B24" s="9" t="inlineStr">
        <is>
          <t>28/11/2025</t>
        </is>
      </c>
      <c r="C24" s="10" t="inlineStr">
        <is>
          <t>Centro Peruano Especializado en Gestión y Administración de Controversias - CEPEGAC</t>
        </is>
      </c>
      <c r="D24" s="9" t="inlineStr">
        <is>
          <t>IA</t>
        </is>
      </c>
      <c r="E24" s="11" t="inlineStr">
        <is>
          <t>20610700889</t>
        </is>
      </c>
      <c r="F24" s="10" t="inlineStr">
        <is>
          <t>Recién constituidas</t>
        </is>
      </c>
      <c r="G24" s="9" t="inlineStr">
        <is>
          <t>IA-C-000015-2025</t>
        </is>
      </c>
      <c r="H24" s="10" t="inlineStr">
        <is>
          <t>Lima/Lima/ Miraflores</t>
        </is>
      </c>
      <c r="I24" s="9" t="inlineStr">
        <is>
          <t>Habilitado</t>
        </is>
      </c>
    </row>
    <row r="25" ht="25" customHeight="1">
      <c r="A25" s="4" t="n">
        <v>21</v>
      </c>
      <c r="B25" s="5" t="inlineStr">
        <is>
          <t>28/11/2025</t>
        </is>
      </c>
      <c r="C25" s="6" t="inlineStr">
        <is>
          <t>Centro de Arbitraje y Resolución de Disputas Elit Arbitrium Sociedad Anónima Cerrada - ELIT ARBITRIUM S.A.C.</t>
        </is>
      </c>
      <c r="D25" s="5" t="inlineStr">
        <is>
          <t>CAJPRD</t>
        </is>
      </c>
      <c r="E25" s="7" t="inlineStr">
        <is>
          <t>20603618875</t>
        </is>
      </c>
      <c r="F25" s="6" t="inlineStr">
        <is>
          <t>Recién constituidas</t>
        </is>
      </c>
      <c r="G25" s="5" t="inlineStr">
        <is>
          <t>CAJPRD-C-000008-2025</t>
        </is>
      </c>
      <c r="H25" s="6" t="inlineStr">
        <is>
          <t>Cusco/Cusco/Santiago</t>
        </is>
      </c>
      <c r="I25" s="5" t="inlineStr">
        <is>
          <t>Habilitado</t>
        </is>
      </c>
    </row>
    <row r="26" ht="25" customHeight="1">
      <c r="A26" s="8" t="n">
        <v>22</v>
      </c>
      <c r="B26" s="9" t="inlineStr">
        <is>
          <t>28/11/2025</t>
        </is>
      </c>
      <c r="C26" s="10" t="inlineStr">
        <is>
          <t>Centro de Arbitraje y Resolución de Disputas Elit Arbitrium Sociedad Anónima Cerrada - ELIT ARBITRIUM S.A.C.</t>
        </is>
      </c>
      <c r="D26" s="9" t="inlineStr">
        <is>
          <t>IA</t>
        </is>
      </c>
      <c r="E26" s="11" t="inlineStr">
        <is>
          <t>20603618875</t>
        </is>
      </c>
      <c r="F26" s="10" t="inlineStr">
        <is>
          <t>Contratos con montos originales que superen las 2 000 UITS</t>
        </is>
      </c>
      <c r="G26" s="9" t="inlineStr">
        <is>
          <t>IA-B-000016-2025</t>
        </is>
      </c>
      <c r="H26" s="10" t="inlineStr">
        <is>
          <t>Cusco/Cusco/Santiago</t>
        </is>
      </c>
      <c r="I26" s="9" t="inlineStr">
        <is>
          <t>Habilitado</t>
        </is>
      </c>
    </row>
    <row r="27" ht="25" customHeight="1">
      <c r="A27" s="4" t="n">
        <v>23</v>
      </c>
      <c r="B27" s="5" t="inlineStr">
        <is>
          <t>03/12/2025</t>
        </is>
      </c>
      <c r="C27" s="6" t="inlineStr">
        <is>
          <t>MARC PERÚ Asociación para la Prevención y Solución de Conflictos</t>
        </is>
      </c>
      <c r="D27" s="5" t="inlineStr">
        <is>
          <t>CAJPRD</t>
        </is>
      </c>
      <c r="E27" s="7" t="inlineStr">
        <is>
          <t>20426255317</t>
        </is>
      </c>
      <c r="F27" s="6" t="inlineStr">
        <is>
          <t>Recién constituidas</t>
        </is>
      </c>
      <c r="G27" s="5" t="inlineStr">
        <is>
          <t>CAJPRD-C-000009-2025</t>
        </is>
      </c>
      <c r="H27" s="6" t="inlineStr">
        <is>
          <t>Lima/Lima/ Miraflores</t>
        </is>
      </c>
      <c r="I27" s="5" t="inlineStr">
        <is>
          <t>Habilitado</t>
        </is>
      </c>
    </row>
    <row r="28" ht="25" customHeight="1">
      <c r="A28" s="8" t="n">
        <v>24</v>
      </c>
      <c r="B28" s="9" t="inlineStr">
        <is>
          <t>05/12/2025</t>
        </is>
      </c>
      <c r="C28" s="10" t="inlineStr">
        <is>
          <t>Firma Legal Ordoñez - Chambi - Terrazas - Herrera</t>
        </is>
      </c>
      <c r="D28" s="9" t="inlineStr">
        <is>
          <t>IA</t>
        </is>
      </c>
      <c r="E28" s="11" t="inlineStr">
        <is>
          <t>20614730235</t>
        </is>
      </c>
      <c r="F28" s="10" t="inlineStr">
        <is>
          <t>Recién constituidas</t>
        </is>
      </c>
      <c r="G28" s="9" t="inlineStr">
        <is>
          <t>IA-C-000018-2025</t>
        </is>
      </c>
      <c r="H28" s="10" t="inlineStr">
        <is>
          <t>Cusco/Anta/Pucyura</t>
        </is>
      </c>
      <c r="I28" s="9" t="inlineStr">
        <is>
          <t>Habilitado</t>
        </is>
      </c>
    </row>
    <row r="29" ht="25" customHeight="1">
      <c r="A29" s="4" t="n">
        <v>25</v>
      </c>
      <c r="B29" s="5" t="inlineStr">
        <is>
          <t>05/12/2025</t>
        </is>
      </c>
      <c r="C29" s="6" t="inlineStr">
        <is>
          <t>Cámara de Comercio de la Pequeña y Mediana Empresa del Perú</t>
        </is>
      </c>
      <c r="D29" s="5" t="inlineStr">
        <is>
          <t>IA</t>
        </is>
      </c>
      <c r="E29" s="7" t="inlineStr">
        <is>
          <t>20602244009</t>
        </is>
      </c>
      <c r="F29" s="6" t="inlineStr">
        <is>
          <t>Recién constituidas</t>
        </is>
      </c>
      <c r="G29" s="5" t="inlineStr">
        <is>
          <t>IA-C-000019-2025</t>
        </is>
      </c>
      <c r="H29" s="6" t="inlineStr">
        <is>
          <t>Arequipa/ Arequipa/ Cerro Colorado</t>
        </is>
      </c>
      <c r="I29" s="5" t="inlineStr">
        <is>
          <t>Habilitado</t>
        </is>
      </c>
    </row>
    <row r="30" ht="25" customHeight="1">
      <c r="A30" s="8" t="n">
        <v>26</v>
      </c>
      <c r="B30" s="9" t="inlineStr">
        <is>
          <t>05/12/2025</t>
        </is>
      </c>
      <c r="C30" s="10" t="inlineStr">
        <is>
          <t>SEARPAX Centro de Arbitraje Sánchez Abogados S.A.C.</t>
        </is>
      </c>
      <c r="D30" s="9" t="inlineStr">
        <is>
          <t>IA</t>
        </is>
      </c>
      <c r="E30" s="11" t="inlineStr">
        <is>
          <t>20610528491</t>
        </is>
      </c>
      <c r="F30" s="10" t="inlineStr">
        <is>
          <t>Recién constituidas</t>
        </is>
      </c>
      <c r="G30" s="9" t="inlineStr">
        <is>
          <t>IA-C-000020-2025</t>
        </is>
      </c>
      <c r="H30" s="10" t="inlineStr">
        <is>
          <t>Lima/Lima/Santiago de Surco</t>
        </is>
      </c>
      <c r="I30" s="9" t="inlineStr">
        <is>
          <t>Habilitado</t>
        </is>
      </c>
    </row>
    <row r="31" ht="25" customHeight="1">
      <c r="A31" s="4" t="n">
        <v>27</v>
      </c>
      <c r="B31" s="5" t="inlineStr">
        <is>
          <t>10/12/2025</t>
        </is>
      </c>
      <c r="C31" s="6" t="inlineStr">
        <is>
          <t>ARKADIA Centro de Arbitraje y Conciliación</t>
        </is>
      </c>
      <c r="D31" s="5" t="inlineStr">
        <is>
          <t>IA</t>
        </is>
      </c>
      <c r="E31" s="7" t="inlineStr">
        <is>
          <t>20490229567</t>
        </is>
      </c>
      <c r="F31" s="6" t="inlineStr">
        <is>
          <t>Recién constituidas</t>
        </is>
      </c>
      <c r="G31" s="5" t="inlineStr">
        <is>
          <t>IA-C-000021-2025</t>
        </is>
      </c>
      <c r="H31" s="6" t="inlineStr">
        <is>
          <t>Cusco/Cusco/Cusco</t>
        </is>
      </c>
      <c r="I31" s="5" t="inlineStr">
        <is>
          <t>Habilitado</t>
        </is>
      </c>
    </row>
    <row r="32" ht="25" customHeight="1">
      <c r="A32" s="8" t="n">
        <v>28</v>
      </c>
      <c r="B32" s="9" t="inlineStr">
        <is>
          <t>12/12/2025</t>
        </is>
      </c>
      <c r="C32" s="10" t="inlineStr">
        <is>
          <t>Cámara de Comercio de la Pequeña y Mediana Empresa del Perú</t>
        </is>
      </c>
      <c r="D32" s="9" t="inlineStr">
        <is>
          <t>CAJPRD</t>
        </is>
      </c>
      <c r="E32" s="11" t="inlineStr">
        <is>
          <t>20602244009</t>
        </is>
      </c>
      <c r="F32" s="10" t="inlineStr">
        <is>
          <t>Recién constituidas</t>
        </is>
      </c>
      <c r="G32" s="9" t="inlineStr">
        <is>
          <t>CAJPRD-C-000010-2025</t>
        </is>
      </c>
      <c r="H32" s="10" t="inlineStr">
        <is>
          <t>Arequipa/ Arequipa/ Cerro Colorado</t>
        </is>
      </c>
      <c r="I32" s="9" t="inlineStr">
        <is>
          <t>Habilitado</t>
        </is>
      </c>
    </row>
    <row r="33" ht="25" customHeight="1">
      <c r="A33" s="4" t="n">
        <v>29</v>
      </c>
      <c r="B33" s="5" t="inlineStr">
        <is>
          <t>15/12/2025</t>
        </is>
      </c>
      <c r="C33" s="6" t="inlineStr">
        <is>
          <t>SEARPAX Centro de Arbitraje Sánchez Abogados S.A.C.</t>
        </is>
      </c>
      <c r="D33" s="5" t="inlineStr">
        <is>
          <t>CAJPRD</t>
        </is>
      </c>
      <c r="E33" s="7" t="inlineStr">
        <is>
          <t>20610528491</t>
        </is>
      </c>
      <c r="F33" s="6" t="inlineStr">
        <is>
          <t>Recién constituidas</t>
        </is>
      </c>
      <c r="G33" s="5" t="inlineStr">
        <is>
          <t>CAJPRD-C-000012-2025</t>
        </is>
      </c>
      <c r="H33" s="6" t="inlineStr">
        <is>
          <t>Lima/Lima/Santiago de Surco</t>
        </is>
      </c>
      <c r="I33" s="5" t="inlineStr">
        <is>
          <t>Habilitado</t>
        </is>
      </c>
    </row>
    <row r="34" ht="25" customHeight="1">
      <c r="A34" s="8" t="n">
        <v>30</v>
      </c>
      <c r="B34" s="9" t="inlineStr">
        <is>
          <t>16/12/2025</t>
        </is>
      </c>
      <c r="C34" s="10" t="inlineStr">
        <is>
          <t>Cámara de Comercio de Lima</t>
        </is>
      </c>
      <c r="D34" s="9" t="inlineStr">
        <is>
          <t>IA</t>
        </is>
      </c>
      <c r="E34" s="11" t="inlineStr">
        <is>
          <t>20101266819</t>
        </is>
      </c>
      <c r="F34" s="10" t="inlineStr">
        <is>
          <t>Mayor envergadura</t>
        </is>
      </c>
      <c r="G34" s="9" t="inlineStr">
        <is>
          <t>IA-D-000022-2025</t>
        </is>
      </c>
      <c r="H34" s="10" t="inlineStr">
        <is>
          <t>Lima/Lima/Jesús María</t>
        </is>
      </c>
      <c r="I34" s="9" t="inlineStr">
        <is>
          <t>Habilitado</t>
        </is>
      </c>
    </row>
    <row r="35" ht="25" customHeight="1">
      <c r="A35" s="4" t="n">
        <v>31</v>
      </c>
      <c r="B35" s="5" t="inlineStr">
        <is>
          <t>17/12/2025</t>
        </is>
      </c>
      <c r="C35" s="6" t="inlineStr">
        <is>
          <t>Pontificia Universidad Católica del Perú</t>
        </is>
      </c>
      <c r="D35" s="5" t="inlineStr">
        <is>
          <t>CAJPRD</t>
        </is>
      </c>
      <c r="E35" s="7" t="inlineStr">
        <is>
          <t>20155945860</t>
        </is>
      </c>
      <c r="F35" s="6" t="inlineStr">
        <is>
          <t>Contratos con montos originales que superen las 2 000 UITS</t>
        </is>
      </c>
      <c r="G35" s="5" t="inlineStr">
        <is>
          <t>CAJPRD-B-000013-2025</t>
        </is>
      </c>
      <c r="H35" s="6" t="inlineStr">
        <is>
          <t>Lima/Lima/San Isidro</t>
        </is>
      </c>
      <c r="I35" s="5" t="inlineStr">
        <is>
          <t>Habilitado</t>
        </is>
      </c>
    </row>
    <row r="36" ht="25" customHeight="1">
      <c r="A36" s="8" t="n">
        <v>32</v>
      </c>
      <c r="B36" s="9" t="inlineStr">
        <is>
          <t>19/12/2025</t>
        </is>
      </c>
      <c r="C36" s="10" t="inlineStr">
        <is>
          <t>Firma Legal Ordoñez - Chambi - Terrazas - Herrera</t>
        </is>
      </c>
      <c r="D36" s="9" t="inlineStr">
        <is>
          <t>CAJPRD</t>
        </is>
      </c>
      <c r="E36" s="11" t="inlineStr">
        <is>
          <t>20614730235</t>
        </is>
      </c>
      <c r="F36" s="10" t="inlineStr">
        <is>
          <t>Recién constituidas</t>
        </is>
      </c>
      <c r="G36" s="9" t="inlineStr">
        <is>
          <t>CAJPRD-C-000014-2025</t>
        </is>
      </c>
      <c r="H36" s="10" t="inlineStr">
        <is>
          <t>Cusco/Anta/Pucyura</t>
        </is>
      </c>
      <c r="I36" s="9" t="inlineStr">
        <is>
          <t>Habilitado</t>
        </is>
      </c>
    </row>
    <row r="37" ht="25" customHeight="1">
      <c r="A37" s="4" t="n">
        <v>33</v>
      </c>
      <c r="B37" s="5" t="inlineStr">
        <is>
          <t>05/01/2026</t>
        </is>
      </c>
      <c r="C37" s="6" t="inlineStr">
        <is>
          <t>Centro de Arbitraje y Resolución de Disputas del Centro del Perú S.A.C.</t>
        </is>
      </c>
      <c r="D37" s="5" t="inlineStr">
        <is>
          <t>CAJPRD</t>
        </is>
      </c>
      <c r="E37" s="7" t="inlineStr">
        <is>
          <t>20613290096</t>
        </is>
      </c>
      <c r="F37" s="6" t="inlineStr">
        <is>
          <t>Recién constituidas</t>
        </is>
      </c>
      <c r="G37" s="5" t="inlineStr">
        <is>
          <t>CAJPRD-C-000001-2026</t>
        </is>
      </c>
      <c r="H37" s="6" t="inlineStr">
        <is>
          <t>Lima/Lima/Surquillo</t>
        </is>
      </c>
      <c r="I37" s="5" t="inlineStr">
        <is>
          <t>Habilitado</t>
        </is>
      </c>
    </row>
    <row r="38" ht="25" customHeight="1">
      <c r="A38" s="8" t="n">
        <v>34</v>
      </c>
      <c r="B38" s="9" t="inlineStr">
        <is>
          <t>08/01/2026</t>
        </is>
      </c>
      <c r="C38" s="10" t="inlineStr">
        <is>
          <t>Sociedad Nacional de Construcción e Infraestructura - SNCI</t>
        </is>
      </c>
      <c r="D38" s="9" t="inlineStr">
        <is>
          <t>IA</t>
        </is>
      </c>
      <c r="E38" s="11" t="inlineStr">
        <is>
          <t>20610019421</t>
        </is>
      </c>
      <c r="F38" s="10" t="inlineStr">
        <is>
          <t>Recién constituidas</t>
        </is>
      </c>
      <c r="G38" s="9" t="inlineStr">
        <is>
          <t>IA-C-000001-2026</t>
        </is>
      </c>
      <c r="H38" s="10" t="inlineStr">
        <is>
          <t>Lima/Lima/San Isidro</t>
        </is>
      </c>
      <c r="I38" s="9" t="inlineStr">
        <is>
          <t>Habilitado</t>
        </is>
      </c>
    </row>
    <row r="39" ht="25" customHeight="1">
      <c r="A39" s="4" t="n">
        <v>35</v>
      </c>
      <c r="B39" s="5" t="inlineStr">
        <is>
          <t>13/01/2026</t>
        </is>
      </c>
      <c r="C39" s="6" t="inlineStr">
        <is>
          <t>Universidad de San Martín de Porres</t>
        </is>
      </c>
      <c r="D39" s="5" t="inlineStr">
        <is>
          <t>IA</t>
        </is>
      </c>
      <c r="E39" s="7" t="inlineStr">
        <is>
          <t>20138149022</t>
        </is>
      </c>
      <c r="F39" s="6" t="inlineStr">
        <is>
          <t>Recién constituidas</t>
        </is>
      </c>
      <c r="G39" s="5" t="inlineStr">
        <is>
          <t>IA-C-000002-2026</t>
        </is>
      </c>
      <c r="H39" s="6" t="inlineStr">
        <is>
          <t>Lima/Lima/San Isidro</t>
        </is>
      </c>
      <c r="I39" s="5" t="inlineStr">
        <is>
          <t>Habilitado</t>
        </is>
      </c>
    </row>
    <row r="40" ht="25" customHeight="1">
      <c r="A40" s="8" t="n">
        <v>36</v>
      </c>
      <c r="B40" s="9" t="inlineStr">
        <is>
          <t>14/01/2026</t>
        </is>
      </c>
      <c r="C40" s="10" t="inlineStr">
        <is>
          <t>Centro de Conciliación Arbitraje y Resolución de Disputas - CECARD</t>
        </is>
      </c>
      <c r="D40" s="9" t="inlineStr">
        <is>
          <t>IA</t>
        </is>
      </c>
      <c r="E40" s="11" t="inlineStr">
        <is>
          <t>20608566466</t>
        </is>
      </c>
      <c r="F40" s="10" t="inlineStr">
        <is>
          <t>Recién constituidas</t>
        </is>
      </c>
      <c r="G40" s="9" t="inlineStr">
        <is>
          <t>IA-C-000003-2026</t>
        </is>
      </c>
      <c r="H40" s="10" t="inlineStr">
        <is>
          <t>Ayacucho/Huamanga/ Ayacucho</t>
        </is>
      </c>
      <c r="I40" s="9" t="inlineStr">
        <is>
          <t>Habilitado</t>
        </is>
      </c>
    </row>
    <row r="41" ht="25" customHeight="1">
      <c r="A41" s="4" t="n">
        <v>37</v>
      </c>
      <c r="B41" s="5" t="inlineStr">
        <is>
          <t>16/01/2026</t>
        </is>
      </c>
      <c r="C41" s="6" t="inlineStr">
        <is>
          <t>Centro de Conciliación Arbitraje y Resolución de Disputas - CECARD</t>
        </is>
      </c>
      <c r="D41" s="5" t="inlineStr">
        <is>
          <t>CAJPRD</t>
        </is>
      </c>
      <c r="E41" s="7" t="inlineStr">
        <is>
          <t>20608566466</t>
        </is>
      </c>
      <c r="F41" s="6" t="inlineStr">
        <is>
          <t>Recién constituidas</t>
        </is>
      </c>
      <c r="G41" s="5" t="inlineStr">
        <is>
          <t>CAJPRD-C-000002-2026</t>
        </is>
      </c>
      <c r="H41" s="6" t="inlineStr">
        <is>
          <t>Ayacucho/ Huamanga/ Ayacucho</t>
        </is>
      </c>
      <c r="I41" s="5" t="inlineStr">
        <is>
          <t>Habilitado</t>
        </is>
      </c>
    </row>
    <row r="42" ht="25" customHeight="1">
      <c r="A42" s="8" t="n">
        <v>38</v>
      </c>
      <c r="B42" s="9" t="inlineStr">
        <is>
          <t>16/01/2026</t>
        </is>
      </c>
      <c r="C42" s="10" t="inlineStr">
        <is>
          <t>Corte Internacional de Arbitraje, Resolución de Disputas y Conciliación-CIADIC</t>
        </is>
      </c>
      <c r="D42" s="9" t="inlineStr">
        <is>
          <t>IA</t>
        </is>
      </c>
      <c r="E42" s="11" t="inlineStr">
        <is>
          <t>20612788970</t>
        </is>
      </c>
      <c r="F42" s="10" t="inlineStr">
        <is>
          <t>Recién constituidas</t>
        </is>
      </c>
      <c r="G42" s="9" t="inlineStr">
        <is>
          <t>IA-C-000004-2026</t>
        </is>
      </c>
      <c r="H42" s="10" t="inlineStr">
        <is>
          <t>Arequipa/Arequipa/ Cerro Colorado</t>
        </is>
      </c>
      <c r="I42" s="9" t="inlineStr">
        <is>
          <t>Habilitado</t>
        </is>
      </c>
    </row>
    <row r="43" ht="25" customHeight="1">
      <c r="A43" s="4" t="n">
        <v>39</v>
      </c>
      <c r="B43" s="5" t="inlineStr">
        <is>
          <t>19/01/2026</t>
        </is>
      </c>
      <c r="C43" s="6" t="inlineStr">
        <is>
          <t>Centro de Conciliación para la Paz</t>
        </is>
      </c>
      <c r="D43" s="5" t="inlineStr">
        <is>
          <t>CAJPRD</t>
        </is>
      </c>
      <c r="E43" s="7" t="inlineStr">
        <is>
          <t>20479369691</t>
        </is>
      </c>
      <c r="F43" s="6" t="inlineStr">
        <is>
          <t>Contratos con montos originales que superen las 2 000 UITS</t>
        </is>
      </c>
      <c r="G43" s="5" t="inlineStr">
        <is>
          <t>CAJPRD-B-000003-2026</t>
        </is>
      </c>
      <c r="H43" s="6" t="inlineStr">
        <is>
          <t>Lambayeque/Chiclayo/ Chiclayo</t>
        </is>
      </c>
      <c r="I43" s="5" t="inlineStr">
        <is>
          <t>Habilitado</t>
        </is>
      </c>
    </row>
    <row r="44" ht="25" customHeight="1">
      <c r="A44" s="8" t="n">
        <v>40</v>
      </c>
      <c r="B44" s="9" t="inlineStr">
        <is>
          <t>20/01/2026</t>
        </is>
      </c>
      <c r="C44" s="10" t="inlineStr">
        <is>
          <t>Corte Internacional de Arbitraje, Resolución de Disputas y Conciliación-CIADIC</t>
        </is>
      </c>
      <c r="D44" s="9" t="inlineStr">
        <is>
          <t>CAJPRD</t>
        </is>
      </c>
      <c r="E44" s="11" t="inlineStr">
        <is>
          <t>20612788970</t>
        </is>
      </c>
      <c r="F44" s="10" t="inlineStr">
        <is>
          <t>Recién constituidas</t>
        </is>
      </c>
      <c r="G44" s="9" t="inlineStr">
        <is>
          <t>CAJPRD-C-000004-2026</t>
        </is>
      </c>
      <c r="H44" s="10" t="inlineStr">
        <is>
          <t>Arequipa/Arequipa/ Cerro Colorado</t>
        </is>
      </c>
      <c r="I44" s="9" t="inlineStr">
        <is>
          <t>Habilitado</t>
        </is>
      </c>
    </row>
    <row r="45" ht="25" customHeight="1">
      <c r="A45" s="4" t="n">
        <v>41</v>
      </c>
      <c r="B45" s="5" t="inlineStr">
        <is>
          <t>21/01/2026</t>
        </is>
      </c>
      <c r="C45" s="6" t="inlineStr">
        <is>
          <t>Centro de Conciliación, Arbitraje y Junta de Resolución de Disputas Asociación Civil Corporación Imperium</t>
        </is>
      </c>
      <c r="D45" s="5" t="inlineStr">
        <is>
          <t>IA</t>
        </is>
      </c>
      <c r="E45" s="7" t="inlineStr">
        <is>
          <t>20573134801</t>
        </is>
      </c>
      <c r="F45" s="6" t="inlineStr">
        <is>
          <t>Mayor envergadura</t>
        </is>
      </c>
      <c r="G45" s="5" t="inlineStr">
        <is>
          <t>IA-D-000005-2026</t>
        </is>
      </c>
      <c r="H45" s="6" t="inlineStr">
        <is>
          <t>Huánuco/Huánuco/ Huánuco</t>
        </is>
      </c>
      <c r="I45" s="5" t="inlineStr">
        <is>
          <t>Habilitado</t>
        </is>
      </c>
    </row>
    <row r="46" ht="25" customHeight="1">
      <c r="A46" s="8" t="n">
        <v>42</v>
      </c>
      <c r="B46" s="9" t="inlineStr">
        <is>
          <t>23/01/2026</t>
        </is>
      </c>
      <c r="C46" s="10" t="inlineStr">
        <is>
          <t>Centro de Arbitraje y Junta de Resolución de Disputas AD HOC E.I.R.L.</t>
        </is>
      </c>
      <c r="D46" s="9" t="inlineStr">
        <is>
          <t>CAJPRD</t>
        </is>
      </c>
      <c r="E46" s="11" t="inlineStr">
        <is>
          <t>20547988575</t>
        </is>
      </c>
      <c r="F46" s="10" t="inlineStr">
        <is>
          <t>Recién constituidas</t>
        </is>
      </c>
      <c r="G46" s="9" t="inlineStr">
        <is>
          <t>CAJPRD-C-000005-2026</t>
        </is>
      </c>
      <c r="H46" s="10" t="inlineStr">
        <is>
          <t>Lima/Lima/San Isidro</t>
        </is>
      </c>
      <c r="I46" s="9" t="inlineStr">
        <is>
          <t>Habilitado</t>
        </is>
      </c>
    </row>
    <row r="47" ht="25" customHeight="1">
      <c r="A47" s="4" t="n">
        <v>43</v>
      </c>
      <c r="B47" s="5" t="inlineStr">
        <is>
          <t>27/01/2026</t>
        </is>
      </c>
      <c r="C47" s="6" t="inlineStr">
        <is>
          <t>Centro de Conciliación para la Paz</t>
        </is>
      </c>
      <c r="D47" s="5" t="inlineStr">
        <is>
          <t>IA</t>
        </is>
      </c>
      <c r="E47" s="7" t="inlineStr">
        <is>
          <t>20479369691</t>
        </is>
      </c>
      <c r="F47" s="6" t="inlineStr">
        <is>
          <t>Contratos con montos originales que superen las 2 000 UITS</t>
        </is>
      </c>
      <c r="G47" s="5" t="inlineStr">
        <is>
          <t>IA-B-000007-2026</t>
        </is>
      </c>
      <c r="H47" s="6" t="inlineStr">
        <is>
          <t>Lambayeque/Chiclayo/ Chiclayo</t>
        </is>
      </c>
      <c r="I47" s="5" t="inlineStr">
        <is>
          <t>Habilitado</t>
        </is>
      </c>
    </row>
    <row r="48" ht="25" customHeight="1">
      <c r="A48" s="8" t="n">
        <v>44</v>
      </c>
      <c r="B48" s="9" t="inlineStr">
        <is>
          <t>27/01/2026</t>
        </is>
      </c>
      <c r="C48" s="10" t="inlineStr">
        <is>
          <t>Pontificia Universidad Católica del Perú</t>
        </is>
      </c>
      <c r="D48" s="9" t="inlineStr">
        <is>
          <t>IA</t>
        </is>
      </c>
      <c r="E48" s="11" t="inlineStr">
        <is>
          <t>20155945860</t>
        </is>
      </c>
      <c r="F48" s="10" t="inlineStr">
        <is>
          <t>Recién constituidas (antes IA-B- 15/12/2025)</t>
        </is>
      </c>
      <c r="G48" s="9" t="inlineStr">
        <is>
          <t>IA-D-000006-2026</t>
        </is>
      </c>
      <c r="H48" s="10" t="inlineStr">
        <is>
          <t>Lima/Lima/San Miguel</t>
        </is>
      </c>
      <c r="I48" s="9" t="inlineStr">
        <is>
          <t>Habilitado</t>
        </is>
      </c>
    </row>
    <row r="49" ht="25" customHeight="1">
      <c r="A49" s="4" t="n">
        <v>45</v>
      </c>
      <c r="B49" s="5" t="inlineStr">
        <is>
          <t>27/01/2026</t>
        </is>
      </c>
      <c r="C49" s="6" t="inlineStr">
        <is>
          <t>Centro de Arbitraje de la Cámara de Comercio e Industria de Arequipa</t>
        </is>
      </c>
      <c r="D49" s="5" t="inlineStr">
        <is>
          <t>CAJPRD</t>
        </is>
      </c>
      <c r="E49" s="7" t="inlineStr">
        <is>
          <t>20124994340</t>
        </is>
      </c>
      <c r="F49" s="6" t="inlineStr">
        <is>
          <t>Mayor envergadura (antes Contratos con montos originales que superen las 2 000 UIT 000023-2025)</t>
        </is>
      </c>
      <c r="G49" s="5" t="inlineStr">
        <is>
          <t>CAJPRD-C-00006-2026</t>
        </is>
      </c>
      <c r="H49" s="6" t="inlineStr">
        <is>
          <t>Arequipa/Arequipa/ Yanahuara</t>
        </is>
      </c>
      <c r="I49" s="5" t="inlineStr">
        <is>
          <t>Habilitado</t>
        </is>
      </c>
    </row>
    <row r="50" ht="25" customHeight="1">
      <c r="A50" s="8" t="n">
        <v>46</v>
      </c>
      <c r="B50" s="9" t="inlineStr">
        <is>
          <t>28/01/2026</t>
        </is>
      </c>
      <c r="C50" s="10" t="inlineStr">
        <is>
          <t>Centro de Arbitraje y Resolución de Conflictos ACIR Internacional S.A.C.</t>
        </is>
      </c>
      <c r="D50" s="9" t="inlineStr">
        <is>
          <t>IA</t>
        </is>
      </c>
      <c r="E50" s="11" t="inlineStr">
        <is>
          <t>20608669893</t>
        </is>
      </c>
      <c r="F50" s="10" t="inlineStr">
        <is>
          <t>Recién constituidas</t>
        </is>
      </c>
      <c r="G50" s="9" t="inlineStr">
        <is>
          <t>IA-C-000008-2026</t>
        </is>
      </c>
      <c r="H50" s="10" t="inlineStr">
        <is>
          <t>Lambayeque/Chiclayo/ Chiclayo</t>
        </is>
      </c>
      <c r="I50" s="9" t="inlineStr">
        <is>
          <t>Habilitado</t>
        </is>
      </c>
    </row>
    <row r="51" ht="25" customHeight="1">
      <c r="A51" s="4" t="n">
        <v>47</v>
      </c>
      <c r="B51" s="5" t="inlineStr">
        <is>
          <t>28/01/2026</t>
        </is>
      </c>
      <c r="C51" s="6" t="inlineStr">
        <is>
          <t>TMARC Centro de Arbitraje y Dispute Boards S.A.C.</t>
        </is>
      </c>
      <c r="D51" s="5" t="inlineStr">
        <is>
          <t>CAJPRD</t>
        </is>
      </c>
      <c r="E51" s="7" t="inlineStr">
        <is>
          <t>20559817792</t>
        </is>
      </c>
      <c r="F51" s="6" t="inlineStr">
        <is>
          <t>Recién constituidas</t>
        </is>
      </c>
      <c r="G51" s="5" t="inlineStr">
        <is>
          <t>CAJPRD-C-00007-2026</t>
        </is>
      </c>
      <c r="H51" s="6" t="inlineStr">
        <is>
          <t>La Libertad/Trujillo/ Trujillo</t>
        </is>
      </c>
      <c r="I51" s="5" t="inlineStr">
        <is>
          <t>Habilitado</t>
        </is>
      </c>
    </row>
    <row r="52" ht="25" customHeight="1">
      <c r="A52" s="8" t="n">
        <v>48</v>
      </c>
      <c r="B52" s="9" t="inlineStr">
        <is>
          <t>29/01/2026</t>
        </is>
      </c>
      <c r="C52" s="10" t="inlineStr">
        <is>
          <t>Asociación Civil Centro de Conciliación y Arbitraje Dr. Alencar</t>
        </is>
      </c>
      <c r="D52" s="9" t="inlineStr">
        <is>
          <t>CAJPRD</t>
        </is>
      </c>
      <c r="E52" s="11" t="inlineStr">
        <is>
          <t>20600794001</t>
        </is>
      </c>
      <c r="F52" s="10" t="inlineStr">
        <is>
          <t>Recién constituidas</t>
        </is>
      </c>
      <c r="G52" s="9" t="inlineStr">
        <is>
          <t>CAJPRD-C-00008-2026</t>
        </is>
      </c>
      <c r="H52" s="10" t="inlineStr">
        <is>
          <t>Lima/Lima/San Isidro</t>
        </is>
      </c>
      <c r="I52" s="9" t="inlineStr">
        <is>
          <t>Habilitado</t>
        </is>
      </c>
    </row>
    <row r="53" ht="25" customHeight="1">
      <c r="A53" s="4" t="n">
        <v>49</v>
      </c>
      <c r="B53" s="5" t="inlineStr">
        <is>
          <t>29/01/2026</t>
        </is>
      </c>
      <c r="C53" s="6" t="inlineStr">
        <is>
          <t>Asociación Civil Centro de Conciliación y Arbitraje Dr. Alencar</t>
        </is>
      </c>
      <c r="D53" s="5" t="inlineStr">
        <is>
          <t>IA</t>
        </is>
      </c>
      <c r="E53" s="7" t="inlineStr">
        <is>
          <t>20600794001</t>
        </is>
      </c>
      <c r="F53" s="6" t="inlineStr">
        <is>
          <t>Contratos con montos originales que superen las 2 000 UITS</t>
        </is>
      </c>
      <c r="G53" s="5" t="inlineStr">
        <is>
          <t>IA-B-000009-2026</t>
        </is>
      </c>
      <c r="H53" s="6" t="inlineStr">
        <is>
          <t>Lima/Lima /San Isidro</t>
        </is>
      </c>
      <c r="I53" s="5" t="inlineStr">
        <is>
          <t>Habilitado</t>
        </is>
      </c>
    </row>
    <row r="54" ht="25" customHeight="1">
      <c r="A54" s="8" t="n">
        <v>50</v>
      </c>
      <c r="B54" s="9" t="inlineStr">
        <is>
          <t>30/01/2026</t>
        </is>
      </c>
      <c r="C54" s="10" t="inlineStr">
        <is>
          <t>TMARC Centro de Arbitraje y Dispute Boards S.A.C.</t>
        </is>
      </c>
      <c r="D54" s="9" t="inlineStr">
        <is>
          <t>IA</t>
        </is>
      </c>
      <c r="E54" s="11" t="inlineStr">
        <is>
          <t>20559817792</t>
        </is>
      </c>
      <c r="F54" s="10" t="inlineStr">
        <is>
          <t>Contratos con montos originales que superen las 2 000 UITS</t>
        </is>
      </c>
      <c r="G54" s="9" t="inlineStr">
        <is>
          <t>IA-B-00010-2026</t>
        </is>
      </c>
      <c r="H54" s="10" t="inlineStr">
        <is>
          <t>La Libertad/Trujillo/ Trujillo</t>
        </is>
      </c>
      <c r="I54" s="9" t="inlineStr">
        <is>
          <t>Habilitado</t>
        </is>
      </c>
    </row>
    <row r="55" ht="25" customHeight="1">
      <c r="A55" s="4" t="n">
        <v>51</v>
      </c>
      <c r="B55" s="5" t="inlineStr">
        <is>
          <t>30/01/2026</t>
        </is>
      </c>
      <c r="C55" s="6" t="inlineStr">
        <is>
          <t>Cámara de Comercio y Producción de Lambayeque</t>
        </is>
      </c>
      <c r="D55" s="5" t="inlineStr">
        <is>
          <t>IA</t>
        </is>
      </c>
      <c r="E55" s="7" t="inlineStr">
        <is>
          <t>20103098913</t>
        </is>
      </c>
      <c r="F55" s="6" t="inlineStr">
        <is>
          <t>Mayor envergadura</t>
        </is>
      </c>
      <c r="G55" s="5" t="inlineStr">
        <is>
          <t>IA-D-000011-2026</t>
        </is>
      </c>
      <c r="H55" s="6" t="inlineStr">
        <is>
          <t>Lambayeque/Chiclayo/ Chiclayo</t>
        </is>
      </c>
      <c r="I55" s="5" t="inlineStr">
        <is>
          <t>Habilitado</t>
        </is>
      </c>
    </row>
    <row r="56" ht="25" customHeight="1">
      <c r="A56" s="8" t="n">
        <v>52</v>
      </c>
      <c r="B56" s="9" t="inlineStr">
        <is>
          <t>02/02/2026</t>
        </is>
      </c>
      <c r="C56" s="10" t="inlineStr">
        <is>
          <t>Cámara de Comercio y Producción de Lambayeque</t>
        </is>
      </c>
      <c r="D56" s="9" t="inlineStr">
        <is>
          <t>CAJPRD</t>
        </is>
      </c>
      <c r="E56" s="11" t="inlineStr">
        <is>
          <t>20103098913</t>
        </is>
      </c>
      <c r="F56" s="10" t="inlineStr">
        <is>
          <t>Recién constituidas</t>
        </is>
      </c>
      <c r="G56" s="9" t="inlineStr">
        <is>
          <t>CAJPRD-C-00009-2026</t>
        </is>
      </c>
      <c r="H56" s="10" t="inlineStr">
        <is>
          <t>Lambayeque/Chiclayo/ Chiclayo</t>
        </is>
      </c>
      <c r="I56" s="9" t="inlineStr">
        <is>
          <t>Habilitado</t>
        </is>
      </c>
    </row>
    <row r="57" ht="25" customHeight="1">
      <c r="A57" s="4" t="n">
        <v>53</v>
      </c>
      <c r="B57" s="5" t="inlineStr">
        <is>
          <t>03/02/2026</t>
        </is>
      </c>
      <c r="C57" s="6" t="inlineStr">
        <is>
          <t>Colegio de Ingenieros del Perú - Consejo Departamental de Lima</t>
        </is>
      </c>
      <c r="D57" s="5" t="inlineStr">
        <is>
          <t>IA</t>
        </is>
      </c>
      <c r="E57" s="7" t="inlineStr">
        <is>
          <t>20173173181</t>
        </is>
      </c>
      <c r="F57" s="6" t="inlineStr">
        <is>
          <t>Mayor envergadura</t>
        </is>
      </c>
      <c r="G57" s="5" t="inlineStr">
        <is>
          <t>IA-D-000012-2026</t>
        </is>
      </c>
      <c r="H57" s="6" t="inlineStr">
        <is>
          <t>Lima/Lima/San isidro</t>
        </is>
      </c>
      <c r="I57" s="5" t="inlineStr">
        <is>
          <t>Habilitado</t>
        </is>
      </c>
    </row>
    <row r="58" ht="25" customHeight="1">
      <c r="A58" s="8" t="n">
        <v>54</v>
      </c>
      <c r="B58" s="9" t="inlineStr">
        <is>
          <t>04/02/2026</t>
        </is>
      </c>
      <c r="C58" s="10" t="inlineStr">
        <is>
          <t>Red Nacional de Arbitraje</t>
        </is>
      </c>
      <c r="D58" s="9" t="inlineStr">
        <is>
          <t>IA</t>
        </is>
      </c>
      <c r="E58" s="11" t="inlineStr">
        <is>
          <t>20606911620</t>
        </is>
      </c>
      <c r="F58" s="10" t="inlineStr">
        <is>
          <t>Contratos con montos originales que superen las 2 000 UITS (antes IA-C-000017-2025 el 01/12/2025 recién constituidas)</t>
        </is>
      </c>
      <c r="G58" s="9" t="inlineStr">
        <is>
          <t>IA-B-000013-2026</t>
        </is>
      </c>
      <c r="H58" s="10" t="inlineStr">
        <is>
          <t>Lima/Lima/Santiago de Surco</t>
        </is>
      </c>
      <c r="I58" s="9" t="inlineStr">
        <is>
          <t>Habilitado</t>
        </is>
      </c>
    </row>
    <row r="59" ht="25" customHeight="1">
      <c r="A59" s="4" t="n">
        <v>55</v>
      </c>
      <c r="B59" s="5" t="inlineStr">
        <is>
          <t>04/02/2026</t>
        </is>
      </c>
      <c r="C59" s="6" t="inlineStr">
        <is>
          <t>Cámara de Comercio, Industria y Turismo de Ucayali</t>
        </is>
      </c>
      <c r="D59" s="5" t="inlineStr">
        <is>
          <t>CAJPRD</t>
        </is>
      </c>
      <c r="E59" s="7" t="inlineStr">
        <is>
          <t>20166782873</t>
        </is>
      </c>
      <c r="F59" s="6" t="inlineStr">
        <is>
          <t>Recién constituidas</t>
        </is>
      </c>
      <c r="G59" s="5" t="inlineStr">
        <is>
          <t>CAJPRD-C-00010-2026</t>
        </is>
      </c>
      <c r="H59" s="6" t="inlineStr">
        <is>
          <t>Ucayali/Coronel Portillo/Calleria</t>
        </is>
      </c>
      <c r="I59" s="5" t="inlineStr">
        <is>
          <t>Habilitado</t>
        </is>
      </c>
    </row>
    <row r="60" ht="25" customHeight="1">
      <c r="A60" s="8" t="n">
        <v>56</v>
      </c>
      <c r="B60" s="9" t="inlineStr">
        <is>
          <t>04/02/2026</t>
        </is>
      </c>
      <c r="C60" s="10" t="inlineStr">
        <is>
          <t>Cámara de Comercio, Industria y Turismo de Ucayali</t>
        </is>
      </c>
      <c r="D60" s="9" t="inlineStr">
        <is>
          <t>IA</t>
        </is>
      </c>
      <c r="E60" s="11" t="inlineStr">
        <is>
          <t>20166782873</t>
        </is>
      </c>
      <c r="F60" s="10" t="inlineStr">
        <is>
          <t>Contratos con montos originales que superen las 2 000 UITS</t>
        </is>
      </c>
      <c r="G60" s="9" t="inlineStr">
        <is>
          <t>IA-B-00014-2026</t>
        </is>
      </c>
      <c r="H60" s="10" t="inlineStr">
        <is>
          <t>Ucayali/Coronel Portillo/Calleria</t>
        </is>
      </c>
      <c r="I60" s="9" t="inlineStr">
        <is>
          <t>Habilitado</t>
        </is>
      </c>
    </row>
    <row r="61" ht="25" customHeight="1">
      <c r="A61" s="4" t="n">
        <v>57</v>
      </c>
      <c r="B61" s="5" t="inlineStr">
        <is>
          <t>04/02/2026</t>
        </is>
      </c>
      <c r="C61" s="6" t="inlineStr">
        <is>
          <t>Colegio de Ingenieros del Perú - Consejo Departamental de Lima</t>
        </is>
      </c>
      <c r="D61" s="5" t="inlineStr">
        <is>
          <t>CAJPRD</t>
        </is>
      </c>
      <c r="E61" s="7" t="inlineStr">
        <is>
          <t>20173173181</t>
        </is>
      </c>
      <c r="F61" s="6" t="inlineStr">
        <is>
          <t>Contratos con montos originales que superen las 2 000 UITS</t>
        </is>
      </c>
      <c r="G61" s="5" t="inlineStr">
        <is>
          <t>CAJPRD-B-00011-2026</t>
        </is>
      </c>
      <c r="H61" s="6" t="inlineStr">
        <is>
          <t>Lima/Lima/San isidro</t>
        </is>
      </c>
      <c r="I61" s="5" t="inlineStr">
        <is>
          <t>Habilitado</t>
        </is>
      </c>
    </row>
    <row r="62" ht="25" customHeight="1">
      <c r="A62" s="8" t="n">
        <v>58</v>
      </c>
      <c r="B62" s="9" t="inlineStr">
        <is>
          <t>04/02/2026</t>
        </is>
      </c>
      <c r="C62" s="10" t="inlineStr">
        <is>
          <t>MEDYAR S.A.C</t>
        </is>
      </c>
      <c r="D62" s="9" t="inlineStr">
        <is>
          <t>IA</t>
        </is>
      </c>
      <c r="E62" s="11" t="inlineStr">
        <is>
          <t>20613365711</t>
        </is>
      </c>
      <c r="F62" s="10" t="inlineStr">
        <is>
          <t>Recién constituidas</t>
        </is>
      </c>
      <c r="G62" s="9" t="inlineStr">
        <is>
          <t>IA-C-000015-2026</t>
        </is>
      </c>
      <c r="H62" s="10" t="inlineStr">
        <is>
          <t>La Libertad/Trujillo/ Trujillo</t>
        </is>
      </c>
      <c r="I62" s="9" t="inlineStr">
        <is>
          <t>Habilitado</t>
        </is>
      </c>
    </row>
    <row r="63" ht="25" customHeight="1">
      <c r="A63" s="4" t="n">
        <v>59</v>
      </c>
      <c r="B63" s="5" t="inlineStr">
        <is>
          <t>04/02/2026</t>
        </is>
      </c>
      <c r="C63" s="6" t="inlineStr">
        <is>
          <t>Centro de Arbitraje y Resolución de Disputas Amazonas S.A.C.</t>
        </is>
      </c>
      <c r="D63" s="5" t="inlineStr">
        <is>
          <t>CAJPRD</t>
        </is>
      </c>
      <c r="E63" s="7" t="inlineStr">
        <is>
          <t>20611973692</t>
        </is>
      </c>
      <c r="F63" s="6" t="inlineStr">
        <is>
          <t>Recién constituidas</t>
        </is>
      </c>
      <c r="G63" s="5" t="inlineStr">
        <is>
          <t>CAJPRD-C-000012-2026</t>
        </is>
      </c>
      <c r="H63" s="6" t="inlineStr">
        <is>
          <t>Amazonas/ Utcubamba/Bagua Grande</t>
        </is>
      </c>
      <c r="I63" s="5" t="inlineStr">
        <is>
          <t>Habilitado</t>
        </is>
      </c>
    </row>
    <row r="64" ht="25" customHeight="1">
      <c r="A64" s="8" t="n">
        <v>60</v>
      </c>
      <c r="B64" s="9" t="inlineStr">
        <is>
          <t>06/02/2026</t>
        </is>
      </c>
      <c r="C64" s="10" t="inlineStr">
        <is>
          <t>Cámara de Comercio, Producción y Turismo de San Martín - Tarapoto</t>
        </is>
      </c>
      <c r="D64" s="9" t="inlineStr">
        <is>
          <t>IA</t>
        </is>
      </c>
      <c r="E64" s="11" t="inlineStr">
        <is>
          <t>20160771861</t>
        </is>
      </c>
      <c r="F64" s="10" t="inlineStr">
        <is>
          <t>Contratos con montos originales que superen las 2 000 UITS</t>
        </is>
      </c>
      <c r="G64" s="9" t="inlineStr">
        <is>
          <t>IA-B-00016-2026</t>
        </is>
      </c>
      <c r="H64" s="10" t="inlineStr">
        <is>
          <t>San Martin/San Martin/Tarapoto</t>
        </is>
      </c>
      <c r="I64" s="9" t="inlineStr">
        <is>
          <t>Habilitado</t>
        </is>
      </c>
    </row>
    <row r="65" ht="25" customHeight="1">
      <c r="A65" s="4" t="n">
        <v>61</v>
      </c>
      <c r="B65" s="5" t="inlineStr">
        <is>
          <t>06/02/2026</t>
        </is>
      </c>
      <c r="C65" s="6" t="inlineStr">
        <is>
          <t>Cámara de Comercio y Producción de Piura</t>
        </is>
      </c>
      <c r="D65" s="5" t="inlineStr">
        <is>
          <t>IA</t>
        </is>
      </c>
      <c r="E65" s="7" t="inlineStr">
        <is>
          <t>20102426810</t>
        </is>
      </c>
      <c r="F65" s="6" t="inlineStr">
        <is>
          <t>Contratos con montos originales que superen las 2 000 UITS</t>
        </is>
      </c>
      <c r="G65" s="5" t="inlineStr">
        <is>
          <t>IA-B-00017-2026</t>
        </is>
      </c>
      <c r="H65" s="6" t="inlineStr">
        <is>
          <t>Piura/Piura/Piura</t>
        </is>
      </c>
      <c r="I65" s="5" t="inlineStr">
        <is>
          <t>Habilitado</t>
        </is>
      </c>
    </row>
    <row r="66" ht="25" customHeight="1">
      <c r="A66" s="8" t="n">
        <v>62</v>
      </c>
      <c r="B66" s="9" t="inlineStr">
        <is>
          <t>06/02/2026</t>
        </is>
      </c>
      <c r="C66" s="10" t="inlineStr">
        <is>
          <t>Centro de Arbitraje y Junta de Resolución de Disputas AD HOC E.I.R.L.</t>
        </is>
      </c>
      <c r="D66" s="9" t="inlineStr">
        <is>
          <t>IA</t>
        </is>
      </c>
      <c r="E66" s="11" t="inlineStr">
        <is>
          <t>20547988575</t>
        </is>
      </c>
      <c r="F66" s="10" t="inlineStr">
        <is>
          <t>Recién constituidas</t>
        </is>
      </c>
      <c r="G66" s="9" t="inlineStr">
        <is>
          <t>IA-C-000018-2026</t>
        </is>
      </c>
      <c r="H66" s="10" t="inlineStr">
        <is>
          <t>Lima/Lima/San isidro</t>
        </is>
      </c>
      <c r="I66" s="9" t="inlineStr">
        <is>
          <t>Habilitado</t>
        </is>
      </c>
    </row>
    <row r="67" ht="25" customHeight="1">
      <c r="A67" s="4" t="n">
        <v>63</v>
      </c>
      <c r="B67" s="5" t="inlineStr">
        <is>
          <t>06/02/2026</t>
        </is>
      </c>
      <c r="C67" s="6" t="inlineStr">
        <is>
          <t>Instituto de Investigación Jurídica Alethia</t>
        </is>
      </c>
      <c r="D67" s="5" t="inlineStr">
        <is>
          <t>IA</t>
        </is>
      </c>
      <c r="E67" s="7" t="inlineStr">
        <is>
          <t>20614957469</t>
        </is>
      </c>
      <c r="F67" s="6" t="inlineStr">
        <is>
          <t>Recién constituidas</t>
        </is>
      </c>
      <c r="G67" s="5" t="inlineStr">
        <is>
          <t>IA-C-00019-2026</t>
        </is>
      </c>
      <c r="H67" s="6" t="inlineStr">
        <is>
          <t>Ayacucho/Huamanga/ Ayacucho</t>
        </is>
      </c>
      <c r="I67" s="5" t="inlineStr">
        <is>
          <t>Habilitado</t>
        </is>
      </c>
    </row>
    <row r="68" ht="25" customHeight="1">
      <c r="A68" s="8" t="n">
        <v>64</v>
      </c>
      <c r="B68" s="9" t="inlineStr">
        <is>
          <t>09/02/2026</t>
        </is>
      </c>
      <c r="C68" s="10" t="inlineStr">
        <is>
          <t>Instituto de Investigación Jurídica Alethia</t>
        </is>
      </c>
      <c r="D68" s="9" t="inlineStr">
        <is>
          <t>CAJPRD</t>
        </is>
      </c>
      <c r="E68" s="11" t="inlineStr">
        <is>
          <t>20614957469</t>
        </is>
      </c>
      <c r="F68" s="10" t="inlineStr">
        <is>
          <t>Recién constituidas</t>
        </is>
      </c>
      <c r="G68" s="9" t="inlineStr">
        <is>
          <t>CAJPRD-C-000013-2026</t>
        </is>
      </c>
      <c r="H68" s="10" t="inlineStr">
        <is>
          <t>Ayacucho/Huamanga/ Ayacucho</t>
        </is>
      </c>
      <c r="I68" s="9" t="inlineStr">
        <is>
          <t>Habilitado</t>
        </is>
      </c>
    </row>
    <row r="69" ht="25" customHeight="1">
      <c r="A69" s="4" t="n">
        <v>65</v>
      </c>
      <c r="B69" s="5" t="inlineStr">
        <is>
          <t>09/02/2026</t>
        </is>
      </c>
      <c r="C69" s="6" t="inlineStr">
        <is>
          <t>Colegio de Abogados de Lima</t>
        </is>
      </c>
      <c r="D69" s="5" t="inlineStr">
        <is>
          <t>IA</t>
        </is>
      </c>
      <c r="E69" s="7" t="inlineStr">
        <is>
          <t>20154531921</t>
        </is>
      </c>
      <c r="F69" s="6" t="inlineStr">
        <is>
          <t>Mayor envergadura</t>
        </is>
      </c>
      <c r="G69" s="5" t="inlineStr">
        <is>
          <t>IA-D-000020-2026</t>
        </is>
      </c>
      <c r="H69" s="6" t="inlineStr">
        <is>
          <t>Lima/Lima/Miraflores</t>
        </is>
      </c>
      <c r="I69" s="5" t="inlineStr">
        <is>
          <t>Habilitado</t>
        </is>
      </c>
    </row>
    <row r="70" ht="25" customHeight="1">
      <c r="A70" s="8" t="n">
        <v>66</v>
      </c>
      <c r="B70" s="9" t="inlineStr">
        <is>
          <t>10/02/2026</t>
        </is>
      </c>
      <c r="C70" s="10" t="inlineStr">
        <is>
          <t>Centro Internacional de Arbitraje Cámara de Bélgica y Luxemburgo en el Perú (CIACBLP) (antes Centro de Investigación y Resolución de Conflictos ALCANDER)</t>
        </is>
      </c>
      <c r="D70" s="9" t="inlineStr">
        <is>
          <t>IA</t>
        </is>
      </c>
      <c r="E70" s="11" t="inlineStr">
        <is>
          <t>20607868493</t>
        </is>
      </c>
      <c r="F70" s="10" t="inlineStr">
        <is>
          <t>Recién constituidas</t>
        </is>
      </c>
      <c r="G70" s="9" t="inlineStr">
        <is>
          <t>IA-C-000022-2026</t>
        </is>
      </c>
      <c r="H70" s="10" t="inlineStr">
        <is>
          <t>Lima/Lima/Miraflores</t>
        </is>
      </c>
      <c r="I70" s="9" t="inlineStr">
        <is>
          <t>Habilitado</t>
        </is>
      </c>
    </row>
    <row r="71" ht="25" customHeight="1">
      <c r="A71" s="4" t="n">
        <v>67</v>
      </c>
      <c r="B71" s="5" t="inlineStr">
        <is>
          <t>10/02/2026</t>
        </is>
      </c>
      <c r="C71" s="6" t="inlineStr">
        <is>
          <t>SOCIETATIS ET LEGIS S.A.C.</t>
        </is>
      </c>
      <c r="D71" s="5" t="inlineStr">
        <is>
          <t>IA</t>
        </is>
      </c>
      <c r="E71" s="7" t="inlineStr">
        <is>
          <t>20611377291</t>
        </is>
      </c>
      <c r="F71" s="6" t="inlineStr">
        <is>
          <t>Recién constituidas</t>
        </is>
      </c>
      <c r="G71" s="5" t="inlineStr">
        <is>
          <t>IA-C-000021-2026</t>
        </is>
      </c>
      <c r="H71" s="6" t="inlineStr">
        <is>
          <t>Junin/Huancayo/Huancayo</t>
        </is>
      </c>
      <c r="I71" s="5" t="inlineStr">
        <is>
          <t>Habilitado</t>
        </is>
      </c>
    </row>
    <row r="72" ht="25" customHeight="1">
      <c r="A72" s="8" t="n">
        <v>68</v>
      </c>
      <c r="B72" s="9" t="inlineStr">
        <is>
          <t>11/02/2026</t>
        </is>
      </c>
      <c r="C72" s="10" t="inlineStr">
        <is>
          <t>Sociedad Nacional de Construcción e Infraestructura - SNCI</t>
        </is>
      </c>
      <c r="D72" s="9" t="inlineStr">
        <is>
          <t>CAJPRD</t>
        </is>
      </c>
      <c r="E72" s="11" t="inlineStr">
        <is>
          <t>20610019421</t>
        </is>
      </c>
      <c r="F72" s="10" t="inlineStr">
        <is>
          <t>Recién constituidas</t>
        </is>
      </c>
      <c r="G72" s="9" t="inlineStr">
        <is>
          <t>CAJPRD-C-000014-2026</t>
        </is>
      </c>
      <c r="H72" s="10" t="inlineStr">
        <is>
          <t>Lima/Lima/San isidro</t>
        </is>
      </c>
      <c r="I72" s="9" t="inlineStr">
        <is>
          <t>Habilitado</t>
        </is>
      </c>
    </row>
    <row r="73" ht="25" customHeight="1">
      <c r="A73" s="4" t="n">
        <v>69</v>
      </c>
      <c r="B73" s="5" t="inlineStr">
        <is>
          <t>11/02/2026</t>
        </is>
      </c>
      <c r="C73" s="6" t="inlineStr">
        <is>
          <t>Cámara de Comercio, Industria y Turismo de Ica.</t>
        </is>
      </c>
      <c r="D73" s="5" t="inlineStr">
        <is>
          <t>CAJPRD</t>
        </is>
      </c>
      <c r="E73" s="7" t="inlineStr">
        <is>
          <t>20104742301</t>
        </is>
      </c>
      <c r="F73" s="6" t="inlineStr">
        <is>
          <t>Recién constituidas</t>
        </is>
      </c>
      <c r="G73" s="5" t="inlineStr">
        <is>
          <t>CAJPRD-C-000015-2026</t>
        </is>
      </c>
      <c r="H73" s="6" t="inlineStr">
        <is>
          <t>Ica/Ica/Ica</t>
        </is>
      </c>
      <c r="I73" s="5" t="inlineStr">
        <is>
          <t>Habilitado</t>
        </is>
      </c>
    </row>
    <row r="74" ht="25" customHeight="1">
      <c r="A74" s="8" t="n">
        <v>70</v>
      </c>
      <c r="B74" s="9" t="inlineStr">
        <is>
          <t>12/02/2026</t>
        </is>
      </c>
      <c r="C74" s="10" t="inlineStr">
        <is>
          <t>Cámara de Comercio y Producción de Piura</t>
        </is>
      </c>
      <c r="D74" s="9" t="inlineStr">
        <is>
          <t>CAJPRD</t>
        </is>
      </c>
      <c r="E74" s="11" t="inlineStr">
        <is>
          <t>20102426810</t>
        </is>
      </c>
      <c r="F74" s="10" t="inlineStr">
        <is>
          <t>Recién constituidas</t>
        </is>
      </c>
      <c r="G74" s="9" t="inlineStr">
        <is>
          <t>CAJPRD-C-000016-2026</t>
        </is>
      </c>
      <c r="H74" s="10" t="inlineStr">
        <is>
          <t>Piura/ Piura/ Piura</t>
        </is>
      </c>
      <c r="I74" s="9" t="inlineStr">
        <is>
          <t>Habilitado</t>
        </is>
      </c>
    </row>
    <row r="75" ht="25" customHeight="1">
      <c r="A75" s="4" t="n">
        <v>71</v>
      </c>
      <c r="B75" s="5" t="inlineStr">
        <is>
          <t>13/02/2026</t>
        </is>
      </c>
      <c r="C75" s="6" t="inlineStr">
        <is>
          <t>Centro Especializado en MARC - CEMARC</t>
        </is>
      </c>
      <c r="D75" s="5" t="inlineStr">
        <is>
          <t>IA</t>
        </is>
      </c>
      <c r="E75" s="7" t="inlineStr">
        <is>
          <t>20609633388</t>
        </is>
      </c>
      <c r="F75" s="6" t="inlineStr">
        <is>
          <t>Recién constituidas</t>
        </is>
      </c>
      <c r="G75" s="5" t="inlineStr">
        <is>
          <t>IA-C-000023-2026</t>
        </is>
      </c>
      <c r="H75" s="6" t="inlineStr">
        <is>
          <t>Wanchaq/Cusco/Cusco</t>
        </is>
      </c>
      <c r="I75" s="5" t="inlineStr">
        <is>
          <t>Habilitado</t>
        </is>
      </c>
    </row>
    <row r="76" ht="25" customHeight="1">
      <c r="A76" s="8" t="n">
        <v>72</v>
      </c>
      <c r="B76" s="9" t="inlineStr">
        <is>
          <t>13/02/2026</t>
        </is>
      </c>
      <c r="C76" s="10" t="inlineStr">
        <is>
          <t>Centro de Conciliación, Arbitraje y Junta de Resolución de Disputas Asociación Civil Corporación Imperium</t>
        </is>
      </c>
      <c r="D76" s="9" t="inlineStr">
        <is>
          <t>CAJPRD</t>
        </is>
      </c>
      <c r="E76" s="11" t="inlineStr">
        <is>
          <t>20573134801</t>
        </is>
      </c>
      <c r="F76" s="10" t="inlineStr">
        <is>
          <t>Recién constituidas</t>
        </is>
      </c>
      <c r="G76" s="9" t="inlineStr">
        <is>
          <t>CAJPRD-C-000017-2026</t>
        </is>
      </c>
      <c r="H76" s="10" t="inlineStr">
        <is>
          <t>Huánuco/Huánuco/ Huánuco</t>
        </is>
      </c>
      <c r="I76" s="9" t="inlineStr">
        <is>
          <t>Habilitado</t>
        </is>
      </c>
    </row>
    <row r="77" ht="25" customHeight="1">
      <c r="A77" s="4" t="n">
        <v>73</v>
      </c>
      <c r="B77" s="5" t="inlineStr">
        <is>
          <t>13/02/2026</t>
        </is>
      </c>
      <c r="C77" s="6" t="inlineStr">
        <is>
          <t>Cámara de Comercio, Industria y Turismo de Ica</t>
        </is>
      </c>
      <c r="D77" s="5" t="inlineStr">
        <is>
          <t>IA</t>
        </is>
      </c>
      <c r="E77" s="7" t="inlineStr">
        <is>
          <t>20104742301</t>
        </is>
      </c>
      <c r="F77" s="6" t="inlineStr">
        <is>
          <t>Ordinaria</t>
        </is>
      </c>
      <c r="G77" s="5" t="inlineStr">
        <is>
          <t>IA-A-000024-2026</t>
        </is>
      </c>
      <c r="H77" s="6" t="inlineStr">
        <is>
          <t>Ica/Ica/Ica</t>
        </is>
      </c>
      <c r="I77" s="5" t="inlineStr">
        <is>
          <t>Habilitado</t>
        </is>
      </c>
    </row>
    <row r="78" ht="25" customHeight="1">
      <c r="A78" s="8" t="n">
        <v>74</v>
      </c>
      <c r="B78" s="9" t="inlineStr">
        <is>
          <t>13/02/2026</t>
        </is>
      </c>
      <c r="C78" s="10" t="inlineStr">
        <is>
          <t>Colegio de Ingenieros del Perú- Consejo Departamental de Piura</t>
        </is>
      </c>
      <c r="D78" s="9" t="inlineStr">
        <is>
          <t>IA</t>
        </is>
      </c>
      <c r="E78" s="11" t="inlineStr">
        <is>
          <t>20222225206</t>
        </is>
      </c>
      <c r="F78" s="10" t="inlineStr">
        <is>
          <t>Contratos con montos originales que superen las 2 000 UITS</t>
        </is>
      </c>
      <c r="G78" s="9" t="inlineStr">
        <is>
          <t>IA-B-000025-2026</t>
        </is>
      </c>
      <c r="H78" s="10" t="inlineStr">
        <is>
          <t>Piura/Piura/Piura</t>
        </is>
      </c>
      <c r="I78" s="9" t="inlineStr">
        <is>
          <t>Habilitado</t>
        </is>
      </c>
    </row>
    <row r="79" ht="25" customHeight="1">
      <c r="A79" s="4" t="n">
        <v>75</v>
      </c>
      <c r="B79" s="5" t="inlineStr">
        <is>
          <t>13/02/2026</t>
        </is>
      </c>
      <c r="C79" s="6" t="inlineStr">
        <is>
          <t>Centro Internacional de Arbitraje Cámara de Bélgica y Luxemburgo en el Perú (CIACBLP) (antes Centro de Investigación y Resolución de Conflictos ALCANDER)</t>
        </is>
      </c>
      <c r="D79" s="5" t="inlineStr">
        <is>
          <t>CAJPRD</t>
        </is>
      </c>
      <c r="E79" s="7" t="inlineStr">
        <is>
          <t>20607868493</t>
        </is>
      </c>
      <c r="F79" s="6" t="inlineStr">
        <is>
          <t>Recién constituidas</t>
        </is>
      </c>
      <c r="G79" s="5" t="inlineStr">
        <is>
          <t>CAJPRD-C-000018-2026</t>
        </is>
      </c>
      <c r="H79" s="6" t="inlineStr">
        <is>
          <t>Lima/Lima/Miraflores</t>
        </is>
      </c>
      <c r="I79" s="5" t="inlineStr">
        <is>
          <t>Habilitado</t>
        </is>
      </c>
    </row>
    <row r="80" ht="25" customHeight="1">
      <c r="A80" s="8" t="n">
        <v>76</v>
      </c>
      <c r="B80" s="9" t="inlineStr">
        <is>
          <t>20/02/2026</t>
        </is>
      </c>
      <c r="C80" s="10" t="inlineStr">
        <is>
          <t>Cámara de Comercio, Producción y Turismo de San Martín - Tarapoto</t>
        </is>
      </c>
      <c r="D80" s="9" t="inlineStr">
        <is>
          <t>CAJPRD</t>
        </is>
      </c>
      <c r="E80" s="11" t="inlineStr">
        <is>
          <t>20160771861</t>
        </is>
      </c>
      <c r="F80" s="10" t="inlineStr">
        <is>
          <t>Recién Constituidas</t>
        </is>
      </c>
      <c r="G80" s="9" t="inlineStr">
        <is>
          <t>CAJPRD-C-00019-2026</t>
        </is>
      </c>
      <c r="H80" s="10" t="inlineStr">
        <is>
          <t>San Martin/San Martin/Tarapoto</t>
        </is>
      </c>
      <c r="I80" s="9" t="inlineStr">
        <is>
          <t>Habilitado</t>
        </is>
      </c>
    </row>
    <row r="81" ht="25" customHeight="1">
      <c r="A81" s="4" t="n">
        <v>77</v>
      </c>
      <c r="B81" s="5" t="inlineStr">
        <is>
          <t>25/02/2026</t>
        </is>
      </c>
      <c r="C81" s="6" t="inlineStr">
        <is>
          <t>Tribunal de Arbitraje y Junta de Resolución de Disputas para las Contrataciones Públicas E.I.R.L.</t>
        </is>
      </c>
      <c r="D81" s="5" t="inlineStr">
        <is>
          <t>CAJPRD</t>
        </is>
      </c>
      <c r="E81" s="7" t="inlineStr">
        <is>
          <t>20613116401</t>
        </is>
      </c>
      <c r="F81" s="6" t="inlineStr">
        <is>
          <t>Recién Constituidas</t>
        </is>
      </c>
      <c r="G81" s="5" t="inlineStr">
        <is>
          <t>CAJPRD-C-000020-2026</t>
        </is>
      </c>
      <c r="H81" s="6" t="inlineStr">
        <is>
          <t>La Libertad/Trujillo/Trujillo</t>
        </is>
      </c>
      <c r="I81" s="5" t="inlineStr">
        <is>
          <t>Habilitado</t>
        </is>
      </c>
    </row>
    <row r="82" ht="25" customHeight="1">
      <c r="A82" s="8" t="n">
        <v>78</v>
      </c>
      <c r="B82" s="9" t="inlineStr">
        <is>
          <t>25/02/2026</t>
        </is>
      </c>
      <c r="C82" s="10" t="inlineStr">
        <is>
          <t>Legal Engineering Centro de Arbitraje y Dispute Boards E.I.R.L</t>
        </is>
      </c>
      <c r="D82" s="9" t="inlineStr">
        <is>
          <t>IA</t>
        </is>
      </c>
      <c r="E82" s="11" t="inlineStr">
        <is>
          <t>20611670941</t>
        </is>
      </c>
      <c r="F82" s="10" t="inlineStr">
        <is>
          <t>Recién Constituidas</t>
        </is>
      </c>
      <c r="G82" s="9" t="inlineStr">
        <is>
          <t>IA-C-000028-2026</t>
        </is>
      </c>
      <c r="H82" s="10" t="inlineStr">
        <is>
          <t>La Libertad/Trujillo/Trujillo</t>
        </is>
      </c>
      <c r="I82" s="9" t="inlineStr">
        <is>
          <t>Habilitado</t>
        </is>
      </c>
    </row>
    <row r="83" ht="25" customHeight="1">
      <c r="A83" s="4" t="n">
        <v>79</v>
      </c>
      <c r="B83" s="5" t="inlineStr">
        <is>
          <t>26/02/2026</t>
        </is>
      </c>
      <c r="C83" s="6" t="inlineStr">
        <is>
          <t>Asociación Jurídica de la Cámara de Comercio e Industria de Apurímac</t>
        </is>
      </c>
      <c r="D83" s="5" t="inlineStr">
        <is>
          <t>IA</t>
        </is>
      </c>
      <c r="E83" s="7" t="inlineStr">
        <is>
          <t>20609020963</t>
        </is>
      </c>
      <c r="F83" s="6" t="inlineStr">
        <is>
          <t>Contratos con montos originales que superen las 2 000 UITS</t>
        </is>
      </c>
      <c r="G83" s="5" t="inlineStr">
        <is>
          <t>IA-B-000027-2026</t>
        </is>
      </c>
      <c r="H83" s="6" t="inlineStr">
        <is>
          <t>Apurimac/Abancay/ Abancay</t>
        </is>
      </c>
      <c r="I83" s="5" t="inlineStr">
        <is>
          <t>Habilitado</t>
        </is>
      </c>
    </row>
    <row r="84" ht="25" customHeight="1">
      <c r="A84" s="8" t="n">
        <v>80</v>
      </c>
      <c r="B84" s="9" t="inlineStr">
        <is>
          <t>27/02/2026</t>
        </is>
      </c>
      <c r="C84" s="10" t="inlineStr">
        <is>
          <t>Asociación Corte Nacional de Arbitraje y Disputas</t>
        </is>
      </c>
      <c r="D84" s="9" t="inlineStr">
        <is>
          <t>CAJPRD</t>
        </is>
      </c>
      <c r="E84" s="11" t="inlineStr">
        <is>
          <t>20608380621</t>
        </is>
      </c>
      <c r="F84" s="10" t="inlineStr">
        <is>
          <t>Recién Constituidas</t>
        </is>
      </c>
      <c r="G84" s="9" t="inlineStr">
        <is>
          <t>CAJPRD-C-000021-2026</t>
        </is>
      </c>
      <c r="H84" s="10" t="inlineStr">
        <is>
          <t>Socabaya/Arequipa/ Arequipa</t>
        </is>
      </c>
      <c r="I84" s="9" t="inlineStr">
        <is>
          <t>Habilitado</t>
        </is>
      </c>
    </row>
    <row r="85" ht="25" customHeight="1">
      <c r="A85" s="4" t="n">
        <v>81</v>
      </c>
      <c r="B85" s="5" t="inlineStr">
        <is>
          <t>03/03/2026</t>
        </is>
      </c>
      <c r="C85" s="6" t="inlineStr">
        <is>
          <t>Asociación Nacional de Arbitraje - ANARB</t>
        </is>
      </c>
      <c r="D85" s="5" t="inlineStr">
        <is>
          <t>IA</t>
        </is>
      </c>
      <c r="E85" s="7" t="inlineStr">
        <is>
          <t>20610357696</t>
        </is>
      </c>
      <c r="F85" s="6" t="inlineStr">
        <is>
          <t>Recién Constituidas</t>
        </is>
      </c>
      <c r="G85" s="5" t="inlineStr">
        <is>
          <t>IA-C-000029-2026</t>
        </is>
      </c>
      <c r="H85" s="6" t="inlineStr">
        <is>
          <t>Lima/Lima/Barranco</t>
        </is>
      </c>
      <c r="I85" s="5" t="inlineStr">
        <is>
          <t>Habilitado</t>
        </is>
      </c>
    </row>
    <row r="86" ht="25" customHeight="1">
      <c r="A86" s="8" t="n">
        <v>82</v>
      </c>
      <c r="B86" s="9" t="inlineStr">
        <is>
          <t>03/03/2026</t>
        </is>
      </c>
      <c r="C86" s="10" t="inlineStr">
        <is>
          <t>Tribunal de Arbitraje y Junta de Resolución de Disputas para las Contrataciones Públicas E.I.R.L.</t>
        </is>
      </c>
      <c r="D86" s="9" t="inlineStr">
        <is>
          <t>IA</t>
        </is>
      </c>
      <c r="E86" s="11" t="inlineStr">
        <is>
          <t>20613116401</t>
        </is>
      </c>
      <c r="F86" s="10" t="inlineStr">
        <is>
          <t>Recién Constituidas</t>
        </is>
      </c>
      <c r="G86" s="9" t="inlineStr">
        <is>
          <t>IA-C-000030-2026</t>
        </is>
      </c>
      <c r="H86" s="10" t="inlineStr">
        <is>
          <t>La Libertad/Trujillo/Trujillo</t>
        </is>
      </c>
      <c r="I86" s="9" t="inlineStr">
        <is>
          <t>Habilitado</t>
        </is>
      </c>
    </row>
    <row r="87" ht="25" customHeight="1">
      <c r="A87" s="4" t="n">
        <v>83</v>
      </c>
      <c r="B87" s="5" t="inlineStr">
        <is>
          <t>03/03/2026</t>
        </is>
      </c>
      <c r="C87" s="6" t="inlineStr">
        <is>
          <t>Legal Engineering Centro de Arbitraje y Dispute Boards E.I.R.L.</t>
        </is>
      </c>
      <c r="D87" s="5" t="inlineStr">
        <is>
          <t>CAJPRD</t>
        </is>
      </c>
      <c r="E87" s="7" t="inlineStr">
        <is>
          <t>20611670941</t>
        </is>
      </c>
      <c r="F87" s="6" t="inlineStr">
        <is>
          <t>Recién Constituidas</t>
        </is>
      </c>
      <c r="G87" s="5" t="inlineStr">
        <is>
          <t>CAJPRD-C-000022-2026</t>
        </is>
      </c>
      <c r="H87" s="6" t="inlineStr">
        <is>
          <t>La Libertad/Trujillo/Trujillo</t>
        </is>
      </c>
      <c r="I87" s="5" t="inlineStr">
        <is>
          <t>Habilitado</t>
        </is>
      </c>
    </row>
    <row r="88" ht="25" customHeight="1">
      <c r="A88" s="8" t="n">
        <v>84</v>
      </c>
      <c r="B88" s="9" t="inlineStr">
        <is>
          <t>03/03/2026</t>
        </is>
      </c>
      <c r="C88" s="10" t="inlineStr">
        <is>
          <t>Asociación Corte Nacional de Arbitraje y Disputas</t>
        </is>
      </c>
      <c r="D88" s="9" t="inlineStr">
        <is>
          <t>IA</t>
        </is>
      </c>
      <c r="E88" s="11" t="inlineStr">
        <is>
          <t>20608380621</t>
        </is>
      </c>
      <c r="F88" s="10" t="inlineStr">
        <is>
          <t>Recién Constituidas</t>
        </is>
      </c>
      <c r="G88" s="9" t="inlineStr">
        <is>
          <t>IA-C-000031-2026</t>
        </is>
      </c>
      <c r="H88" s="10" t="inlineStr">
        <is>
          <t>Socabaya/Arequipa/ Arequipa</t>
        </is>
      </c>
      <c r="I88" s="9" t="inlineStr">
        <is>
          <t>Habilitado</t>
        </is>
      </c>
    </row>
    <row r="89" ht="25" customHeight="1">
      <c r="A89" s="4" t="n">
        <v>85</v>
      </c>
      <c r="B89" s="5" t="inlineStr">
        <is>
          <t>05/03/2026</t>
        </is>
      </c>
      <c r="C89" s="6" t="inlineStr">
        <is>
          <t>Cámara de Comercio Chancay World</t>
        </is>
      </c>
      <c r="D89" s="5" t="inlineStr">
        <is>
          <t>IA</t>
        </is>
      </c>
      <c r="E89" s="7" t="inlineStr">
        <is>
          <t>20614139600</t>
        </is>
      </c>
      <c r="F89" s="6" t="inlineStr">
        <is>
          <t>Recién Constituidas</t>
        </is>
      </c>
      <c r="G89" s="5" t="inlineStr">
        <is>
          <t>IA-C-000032-2026</t>
        </is>
      </c>
      <c r="H89" s="6" t="inlineStr">
        <is>
          <t>Lima/Huaral/Chancay</t>
        </is>
      </c>
      <c r="I89" s="5" t="inlineStr">
        <is>
          <t>Habilitado</t>
        </is>
      </c>
    </row>
    <row r="90" ht="25" customHeight="1">
      <c r="A90" s="8" t="n">
        <v>86</v>
      </c>
      <c r="B90" s="9" t="inlineStr">
        <is>
          <t>06/03/2026</t>
        </is>
      </c>
      <c r="C90" s="10" t="inlineStr">
        <is>
          <t>BENSON APPROACH PERU - BAPE</t>
        </is>
      </c>
      <c r="D90" s="9" t="inlineStr">
        <is>
          <t>IA</t>
        </is>
      </c>
      <c r="E90" s="11" t="inlineStr">
        <is>
          <t>20614133423</t>
        </is>
      </c>
      <c r="F90" s="10" t="inlineStr">
        <is>
          <t>Recién Constituidas</t>
        </is>
      </c>
      <c r="G90" s="9" t="inlineStr">
        <is>
          <t>IA-C-000033-2026</t>
        </is>
      </c>
      <c r="H90" s="10" t="inlineStr">
        <is>
          <t>Lima/Lima/Lima</t>
        </is>
      </c>
      <c r="I90" s="9" t="inlineStr">
        <is>
          <t>Habilitado</t>
        </is>
      </c>
    </row>
    <row r="91" ht="25" customHeight="1">
      <c r="A91" s="4" t="n">
        <v>87</v>
      </c>
      <c r="B91" s="5" t="inlineStr">
        <is>
          <t>06/03/2026</t>
        </is>
      </c>
      <c r="C91" s="6" t="inlineStr">
        <is>
          <t>Red Nacional de Arbitraje</t>
        </is>
      </c>
      <c r="D91" s="5" t="inlineStr">
        <is>
          <t>CAJPRD</t>
        </is>
      </c>
      <c r="E91" s="7" t="inlineStr">
        <is>
          <t>20606911620</t>
        </is>
      </c>
      <c r="F91" s="6" t="inlineStr">
        <is>
          <t>Contratos con montos originales que superen las 2 000 UITS (antes CAJPRD-C-000011-2025 el 12/12/2025 recién constituida)</t>
        </is>
      </c>
      <c r="G91" s="5" t="inlineStr">
        <is>
          <t>CAJPRD-B-000023-2026</t>
        </is>
      </c>
      <c r="H91" s="6" t="inlineStr">
        <is>
          <t>Lima/Lima/Santiago de Surco</t>
        </is>
      </c>
      <c r="I91" s="5" t="inlineStr">
        <is>
          <t>Habilitado</t>
        </is>
      </c>
    </row>
    <row r="92" ht="25" customHeight="1">
      <c r="A92" s="8" t="n">
        <v>88</v>
      </c>
      <c r="B92" s="9" t="inlineStr">
        <is>
          <t>10/03/2026</t>
        </is>
      </c>
      <c r="C92" s="10" t="inlineStr">
        <is>
          <t>Centro de Conciliación y Arbitraje Galilea EIRL</t>
        </is>
      </c>
      <c r="D92" s="9" t="inlineStr">
        <is>
          <t>IA</t>
        </is>
      </c>
      <c r="E92" s="11" t="inlineStr">
        <is>
          <t>20610042661</t>
        </is>
      </c>
      <c r="F92" s="10" t="inlineStr">
        <is>
          <t>Recién Constituidas</t>
        </is>
      </c>
      <c r="G92" s="9" t="inlineStr">
        <is>
          <t>IA-C-000034-2026</t>
        </is>
      </c>
      <c r="H92" s="10" t="inlineStr">
        <is>
          <t>Lambayeque/Chiclayo/ Chiclayo</t>
        </is>
      </c>
      <c r="I92" s="9" t="inlineStr">
        <is>
          <t>Habilitado</t>
        </is>
      </c>
    </row>
    <row r="93" ht="25" customHeight="1">
      <c r="A93" s="4" t="n">
        <v>89</v>
      </c>
      <c r="B93" s="5" t="inlineStr">
        <is>
          <t>11/03/2026</t>
        </is>
      </c>
      <c r="C93" s="6" t="inlineStr">
        <is>
          <t>Centro de Análisis y Resolución de Disputas ARBITRE LEX E.I.R.L</t>
        </is>
      </c>
      <c r="D93" s="5" t="inlineStr">
        <is>
          <t>IA</t>
        </is>
      </c>
      <c r="E93" s="7" t="inlineStr">
        <is>
          <t>20611386550</t>
        </is>
      </c>
      <c r="F93" s="6" t="inlineStr">
        <is>
          <t>Recién Constituidas</t>
        </is>
      </c>
      <c r="G93" s="5" t="inlineStr">
        <is>
          <t>IA-C-000035-2026</t>
        </is>
      </c>
      <c r="H93" s="6" t="inlineStr">
        <is>
          <t>Lima/Lima/Miraflores</t>
        </is>
      </c>
      <c r="I93" s="5" t="inlineStr">
        <is>
          <t>Habilitado</t>
        </is>
      </c>
    </row>
    <row r="94" ht="25" customHeight="1">
      <c r="A94" s="8" t="n">
        <v>90</v>
      </c>
      <c r="B94" s="9" t="inlineStr">
        <is>
          <t>12/03/2026</t>
        </is>
      </c>
      <c r="C94" s="10" t="inlineStr">
        <is>
          <t>Centro de Arbitraje Huancayo E.I.R.L</t>
        </is>
      </c>
      <c r="D94" s="9" t="inlineStr">
        <is>
          <t>IA</t>
        </is>
      </c>
      <c r="E94" s="11" t="inlineStr">
        <is>
          <t>20607019399</t>
        </is>
      </c>
      <c r="F94" s="10" t="inlineStr">
        <is>
          <t>Contratos con montos originales que superen las 2 000 UITS</t>
        </is>
      </c>
      <c r="G94" s="9" t="inlineStr">
        <is>
          <t>IA-B-000036-2026</t>
        </is>
      </c>
      <c r="H94" s="10" t="inlineStr">
        <is>
          <t>Junin/Huancayo/El Tambo</t>
        </is>
      </c>
      <c r="I94" s="9" t="inlineStr">
        <is>
          <t>Habilitado</t>
        </is>
      </c>
    </row>
    <row r="95" ht="25" customHeight="1">
      <c r="A95" s="4" t="n">
        <v>91</v>
      </c>
      <c r="B95" s="5" t="inlineStr">
        <is>
          <t>23/03/2026</t>
        </is>
      </c>
      <c r="C95" s="6" t="inlineStr">
        <is>
          <t>Asociación Civil Centro de Arbitraje y Conciliación Latinoamericano</t>
        </is>
      </c>
      <c r="D95" s="5" t="inlineStr">
        <is>
          <t>IA</t>
        </is>
      </c>
      <c r="E95" s="7" t="inlineStr">
        <is>
          <t>20612593087</t>
        </is>
      </c>
      <c r="F95" s="6" t="inlineStr">
        <is>
          <t>Recién Constituidas</t>
        </is>
      </c>
      <c r="G95" s="5" t="inlineStr">
        <is>
          <t>IA-C-000037-2026</t>
        </is>
      </c>
      <c r="H95" s="6" t="inlineStr">
        <is>
          <t>Ancash/Santa/Chimbote</t>
        </is>
      </c>
      <c r="I95" s="5" t="inlineStr">
        <is>
          <t>Habilitado</t>
        </is>
      </c>
    </row>
    <row r="96" ht="25" customHeight="1">
      <c r="A96" s="8" t="n">
        <v>92</v>
      </c>
      <c r="B96" s="9" t="inlineStr">
        <is>
          <t>23/03/2026</t>
        </is>
      </c>
      <c r="C96" s="10" t="inlineStr">
        <is>
          <t>Centro de Investigación Conciliación Arbitraje y de Resolución de Conflictos Pozzo &amp; Asociados</t>
        </is>
      </c>
      <c r="D96" s="9" t="inlineStr">
        <is>
          <t>IA</t>
        </is>
      </c>
      <c r="E96" s="11" t="inlineStr">
        <is>
          <t>20614990067</t>
        </is>
      </c>
      <c r="F96" s="10" t="inlineStr">
        <is>
          <t>Recién Constituidas</t>
        </is>
      </c>
      <c r="G96" s="9" t="inlineStr">
        <is>
          <t>IA-C-000038-2026</t>
        </is>
      </c>
      <c r="H96" s="10" t="inlineStr">
        <is>
          <t>Moyobamba/Moyobamba/ San Martin</t>
        </is>
      </c>
      <c r="I96" s="9" t="inlineStr">
        <is>
          <t>Habilitado</t>
        </is>
      </c>
    </row>
    <row r="97" ht="25" customHeight="1">
      <c r="A97" s="4" t="n">
        <v>93</v>
      </c>
      <c r="B97" s="5" t="inlineStr">
        <is>
          <t>25/03/2026</t>
        </is>
      </c>
      <c r="C97" s="6" t="inlineStr">
        <is>
          <t>Societatis Et Legis S.A.C.</t>
        </is>
      </c>
      <c r="D97" s="5" t="inlineStr">
        <is>
          <t>CAJPRD</t>
        </is>
      </c>
      <c r="E97" s="7" t="inlineStr">
        <is>
          <t>20611377291</t>
        </is>
      </c>
      <c r="F97" s="6" t="inlineStr">
        <is>
          <t>Recién Constituidas</t>
        </is>
      </c>
      <c r="G97" s="5" t="inlineStr">
        <is>
          <t>CAJPRD-C-000024-2026</t>
        </is>
      </c>
      <c r="H97" s="6" t="inlineStr">
        <is>
          <t>Junin/Huancayo/Huancayo</t>
        </is>
      </c>
      <c r="I97" s="5" t="inlineStr">
        <is>
          <t>Habilitado</t>
        </is>
      </c>
    </row>
    <row r="98" ht="25" customHeight="1">
      <c r="A98" s="8" t="n">
        <v>94</v>
      </c>
      <c r="B98" s="9" t="inlineStr">
        <is>
          <t>27/03/2026</t>
        </is>
      </c>
      <c r="C98" s="10" t="inlineStr">
        <is>
          <t>Centro de Altos Estudios de Fomento y Capacitación-CIES</t>
        </is>
      </c>
      <c r="D98" s="9" t="inlineStr">
        <is>
          <t>IA</t>
        </is>
      </c>
      <c r="E98" s="11" t="inlineStr">
        <is>
          <t>20603486898</t>
        </is>
      </c>
      <c r="F98" s="10" t="inlineStr">
        <is>
          <t>Contratos con montos originales que superen las 2 000 UITS</t>
        </is>
      </c>
      <c r="G98" s="9" t="inlineStr">
        <is>
          <t>IA-B-000039-2026</t>
        </is>
      </c>
      <c r="H98" s="10" t="inlineStr">
        <is>
          <t>Lima/Lima/La Molina</t>
        </is>
      </c>
      <c r="I98" s="9" t="inlineStr">
        <is>
          <t>Habilitado</t>
        </is>
      </c>
    </row>
    <row r="99" ht="25" customHeight="1">
      <c r="A99" s="4" t="n">
        <v>95</v>
      </c>
      <c r="B99" s="5" t="inlineStr">
        <is>
          <t>30/03/2026</t>
        </is>
      </c>
      <c r="C99" s="6" t="inlineStr">
        <is>
          <t>Cámara de Comercio Y Producción de Cajamarca</t>
        </is>
      </c>
      <c r="D99" s="5" t="inlineStr">
        <is>
          <t>IA</t>
        </is>
      </c>
      <c r="E99" s="7" t="inlineStr">
        <is>
          <t>20175089030</t>
        </is>
      </c>
      <c r="F99" s="6" t="inlineStr">
        <is>
          <t>Mayor envergadura</t>
        </is>
      </c>
      <c r="G99" s="5" t="inlineStr">
        <is>
          <t>IA-D-000040-2026</t>
        </is>
      </c>
      <c r="H99" s="6" t="inlineStr">
        <is>
          <t>Cajamarca/Cajamarca/Cajamarca</t>
        </is>
      </c>
      <c r="I99" s="5" t="inlineStr">
        <is>
          <t>Habilitado</t>
        </is>
      </c>
    </row>
    <row r="100" ht="25" customHeight="1">
      <c r="A100" s="8" t="n">
        <v>96</v>
      </c>
      <c r="B100" s="9" t="inlineStr">
        <is>
          <t>30/03/2026</t>
        </is>
      </c>
      <c r="C100" s="10" t="inlineStr">
        <is>
          <t>Cámara de Comercio e Industrias de Huánuco</t>
        </is>
      </c>
      <c r="D100" s="9" t="inlineStr">
        <is>
          <t>IA</t>
        </is>
      </c>
      <c r="E100" s="11" t="inlineStr">
        <is>
          <t>20146059598</t>
        </is>
      </c>
      <c r="F100" s="10" t="inlineStr">
        <is>
          <t>Mayor envergadura</t>
        </is>
      </c>
      <c r="G100" s="9" t="inlineStr">
        <is>
          <t>IA-D-000041-2026</t>
        </is>
      </c>
      <c r="H100" s="10" t="inlineStr">
        <is>
          <t>Huánuco/ Huánuco/Huánuco</t>
        </is>
      </c>
      <c r="I100" s="9" t="inlineStr">
        <is>
          <t>Habilitado</t>
        </is>
      </c>
    </row>
    <row r="101" ht="25" customHeight="1">
      <c r="A101" s="4" t="n">
        <v>97</v>
      </c>
      <c r="B101" s="5" t="inlineStr">
        <is>
          <t>31/03/2026</t>
        </is>
      </c>
      <c r="C101" s="6" t="inlineStr">
        <is>
          <t>Latam Law, Business &amp; Arbitration S.A.C</t>
        </is>
      </c>
      <c r="D101" s="5" t="inlineStr">
        <is>
          <t>IA</t>
        </is>
      </c>
      <c r="E101" s="7" t="inlineStr">
        <is>
          <t>20610066004</t>
        </is>
      </c>
      <c r="F101" s="6" t="inlineStr">
        <is>
          <t>Recién Constituidas</t>
        </is>
      </c>
      <c r="G101" s="5" t="inlineStr">
        <is>
          <t>IA-C-000038-2026</t>
        </is>
      </c>
      <c r="H101" s="6" t="inlineStr">
        <is>
          <t>Cajamarca/Jaen/Jaen</t>
        </is>
      </c>
      <c r="I101" s="5" t="inlineStr">
        <is>
          <t>Habilitado</t>
        </is>
      </c>
    </row>
    <row r="102" ht="25" customHeight="1">
      <c r="A102" s="8" t="n">
        <v>98</v>
      </c>
      <c r="B102" s="9" t="inlineStr">
        <is>
          <t>06/04/2026</t>
        </is>
      </c>
      <c r="C102" s="10" t="inlineStr">
        <is>
          <t>Arbitrar (antes Arbitrar S.A.C)</t>
        </is>
      </c>
      <c r="D102" s="9" t="inlineStr">
        <is>
          <t>IA</t>
        </is>
      </c>
      <c r="E102" s="11" t="inlineStr">
        <is>
          <t>20609671514</t>
        </is>
      </c>
      <c r="F102" s="10" t="inlineStr">
        <is>
          <t>Recién Constituidas</t>
        </is>
      </c>
      <c r="G102" s="9" t="inlineStr">
        <is>
          <t>IA-C-000043-2026</t>
        </is>
      </c>
      <c r="H102" s="10" t="inlineStr">
        <is>
          <t>Ica/Ica/Ica</t>
        </is>
      </c>
      <c r="I102" s="9" t="inlineStr">
        <is>
          <t>Habilitado</t>
        </is>
      </c>
    </row>
    <row r="103" ht="25" customHeight="1">
      <c r="A103" s="4" t="n">
        <v>99</v>
      </c>
      <c r="B103" s="5" t="inlineStr">
        <is>
          <t>06/04/2026</t>
        </is>
      </c>
      <c r="C103" s="6" t="inlineStr">
        <is>
          <t>Centro de Investigación Conciliación Arbitraje y de Resolución de Conflictos Pozzo &amp; Asociados</t>
        </is>
      </c>
      <c r="D103" s="5" t="inlineStr">
        <is>
          <t>CAJPRD</t>
        </is>
      </c>
      <c r="E103" s="7" t="inlineStr">
        <is>
          <t>20614990067</t>
        </is>
      </c>
      <c r="F103" s="6" t="inlineStr">
        <is>
          <t>Recién Constituidas</t>
        </is>
      </c>
      <c r="G103" s="5" t="inlineStr">
        <is>
          <t>CAJPRD-C-000025-2026</t>
        </is>
      </c>
      <c r="H103" s="6" t="inlineStr">
        <is>
          <t>Moyobamba/Moyobamba/ San Martin</t>
        </is>
      </c>
      <c r="I103" s="5" t="inlineStr">
        <is>
          <t>Habilitado</t>
        </is>
      </c>
    </row>
    <row r="104" ht="25" customHeight="1">
      <c r="A104" s="8" t="n">
        <v>100</v>
      </c>
      <c r="B104" s="9" t="inlineStr">
        <is>
          <t>06/04/2026</t>
        </is>
      </c>
      <c r="C104" s="10" t="inlineStr">
        <is>
          <t>Centro Peruano Especializado en Gestion y Administracion de Controversias - CEPEGAC</t>
        </is>
      </c>
      <c r="D104" s="9" t="inlineStr">
        <is>
          <t>CAJPRD</t>
        </is>
      </c>
      <c r="E104" s="11" t="inlineStr">
        <is>
          <t>20610700889</t>
        </is>
      </c>
      <c r="F104" s="10" t="inlineStr">
        <is>
          <t>Recién Constituidas</t>
        </is>
      </c>
      <c r="G104" s="9" t="inlineStr">
        <is>
          <t>CAJPRD-C-000026-2026</t>
        </is>
      </c>
      <c r="H104" s="10" t="inlineStr">
        <is>
          <t>Lima/Lima/Miraflores</t>
        </is>
      </c>
      <c r="I104" s="9" t="inlineStr">
        <is>
          <t>Habilitado</t>
        </is>
      </c>
    </row>
    <row r="105" ht="25" customHeight="1">
      <c r="A105" s="4" t="n">
        <v>101</v>
      </c>
      <c r="B105" s="5" t="inlineStr">
        <is>
          <t>09/04/2026</t>
        </is>
      </c>
      <c r="C105" s="6" t="inlineStr">
        <is>
          <t>Cámara de Comercio y Producción de Puno</t>
        </is>
      </c>
      <c r="D105" s="5" t="inlineStr">
        <is>
          <t>IA</t>
        </is>
      </c>
      <c r="E105" s="7" t="inlineStr">
        <is>
          <t>20195270423</t>
        </is>
      </c>
      <c r="F105" s="6" t="inlineStr">
        <is>
          <t>Mayor envergadura</t>
        </is>
      </c>
      <c r="G105" s="5" t="inlineStr">
        <is>
          <t>IA-D-000044-2026</t>
        </is>
      </c>
      <c r="H105" s="6" t="inlineStr">
        <is>
          <t>Puno/Puno/Puno</t>
        </is>
      </c>
      <c r="I105" s="5" t="inlineStr">
        <is>
          <t>Habilitado</t>
        </is>
      </c>
    </row>
    <row r="106" ht="25" customHeight="1">
      <c r="A106" s="8" t="n">
        <v>102</v>
      </c>
      <c r="B106" s="9" t="inlineStr">
        <is>
          <t>09/04/2026</t>
        </is>
      </c>
      <c r="C106" s="10" t="inlineStr">
        <is>
          <t>Asociación Peruana de Conciliación y Arbitraje - ASPECOAR</t>
        </is>
      </c>
      <c r="D106" s="9" t="inlineStr">
        <is>
          <t>IA</t>
        </is>
      </c>
      <c r="E106" s="11" t="inlineStr">
        <is>
          <t>20474022472</t>
        </is>
      </c>
      <c r="F106" s="10" t="inlineStr">
        <is>
          <t>Recién Constituidas</t>
        </is>
      </c>
      <c r="G106" s="9" t="inlineStr">
        <is>
          <t>IA-C-000045-2026</t>
        </is>
      </c>
      <c r="H106" s="10" t="inlineStr">
        <is>
          <t>Lima/Lima/Miraflores</t>
        </is>
      </c>
      <c r="I106" s="9" t="inlineStr">
        <is>
          <t>Habilitado</t>
        </is>
      </c>
    </row>
    <row r="107" ht="25" customHeight="1">
      <c r="A107" s="4" t="n">
        <v>103</v>
      </c>
      <c r="B107" s="5" t="inlineStr">
        <is>
          <t>13/04/2026</t>
        </is>
      </c>
      <c r="C107" s="6" t="inlineStr">
        <is>
          <t>Cámara de Comercio y Producción de Puno</t>
        </is>
      </c>
      <c r="D107" s="5" t="inlineStr">
        <is>
          <t>CAJPRD</t>
        </is>
      </c>
      <c r="E107" s="7" t="inlineStr">
        <is>
          <t>20195270423</t>
        </is>
      </c>
      <c r="F107" s="6" t="inlineStr">
        <is>
          <t>Recién Constituidas</t>
        </is>
      </c>
      <c r="G107" s="5" t="inlineStr">
        <is>
          <t>CAJPRD-C-000027-2026</t>
        </is>
      </c>
      <c r="H107" s="6" t="inlineStr">
        <is>
          <t>Puno/ Puno/ Puno</t>
        </is>
      </c>
      <c r="I107" s="5" t="inlineStr">
        <is>
          <t>Habilitado</t>
        </is>
      </c>
    </row>
    <row r="108" ht="25" customHeight="1">
      <c r="A108" s="8" t="n">
        <v>104</v>
      </c>
      <c r="B108" s="9" t="inlineStr">
        <is>
          <t>14/04/2026</t>
        </is>
      </c>
      <c r="C108" s="10" t="inlineStr">
        <is>
          <t>Centro de Arbitraje Conciliación, Junta de Prevención Y Resolución de Disputas CONSENSUS IURIS S.A.C</t>
        </is>
      </c>
      <c r="D108" s="9" t="inlineStr">
        <is>
          <t>IA</t>
        </is>
      </c>
      <c r="E108" s="11" t="inlineStr">
        <is>
          <t>20614855194</t>
        </is>
      </c>
      <c r="F108" s="10" t="inlineStr">
        <is>
          <t>Recién Constituidas</t>
        </is>
      </c>
      <c r="G108" s="9" t="inlineStr">
        <is>
          <t>IA-C-000046-2026</t>
        </is>
      </c>
      <c r="H108" s="10" t="inlineStr">
        <is>
          <t>Ayacucho/Huamanga/ Ayacucho</t>
        </is>
      </c>
      <c r="I108" s="9" t="inlineStr">
        <is>
          <t>Habilitado</t>
        </is>
      </c>
    </row>
    <row r="109" ht="25" customHeight="1">
      <c r="A109" s="4" t="n">
        <v>105</v>
      </c>
      <c r="B109" s="5" t="inlineStr">
        <is>
          <t>14/04/2026</t>
        </is>
      </c>
      <c r="C109" s="6" t="inlineStr">
        <is>
          <t>Arbitrar (antes Arbitrar S.A.C)</t>
        </is>
      </c>
      <c r="D109" s="5" t="inlineStr">
        <is>
          <t>CAJPRD</t>
        </is>
      </c>
      <c r="E109" s="7" t="inlineStr">
        <is>
          <t>20609671514</t>
        </is>
      </c>
      <c r="F109" s="6" t="inlineStr">
        <is>
          <t>Recién Constituidas</t>
        </is>
      </c>
      <c r="G109" s="5" t="inlineStr">
        <is>
          <t>CAJPRD-C-000028-2026</t>
        </is>
      </c>
      <c r="H109" s="6" t="inlineStr">
        <is>
          <t>Ica/Ica/Ica</t>
        </is>
      </c>
      <c r="I109" s="5" t="inlineStr">
        <is>
          <t>Habilitado</t>
        </is>
      </c>
    </row>
    <row r="110" ht="25" customHeight="1">
      <c r="A110" s="8" t="n">
        <v>106</v>
      </c>
      <c r="B110" s="9" t="inlineStr">
        <is>
          <t>14/04/2026</t>
        </is>
      </c>
      <c r="C110" s="10" t="inlineStr">
        <is>
          <t>ARKADIA Centro de Arbitraje y Conciliación</t>
        </is>
      </c>
      <c r="D110" s="9" t="inlineStr">
        <is>
          <t>CAJPRD</t>
        </is>
      </c>
      <c r="E110" s="11" t="inlineStr">
        <is>
          <t>20490229567</t>
        </is>
      </c>
      <c r="F110" s="10" t="inlineStr">
        <is>
          <t>Recién Constituidas</t>
        </is>
      </c>
      <c r="G110" s="9" t="inlineStr">
        <is>
          <t>CAJPRD-C-000030-2026</t>
        </is>
      </c>
      <c r="H110" s="10" t="inlineStr">
        <is>
          <t>Cusco/Cusco/Cusco</t>
        </is>
      </c>
      <c r="I110" s="9" t="inlineStr">
        <is>
          <t>Habilitado</t>
        </is>
      </c>
    </row>
    <row r="111" ht="25" customHeight="1">
      <c r="A111" s="4" t="n">
        <v>107</v>
      </c>
      <c r="B111" s="5" t="inlineStr">
        <is>
          <t>14/04/2026</t>
        </is>
      </c>
      <c r="C111" s="6" t="inlineStr">
        <is>
          <t>Centro de Arbitraje Conciliación, Juntas de Prevención y Resolución de Disputas CONSENSUS IURIS S.A.C</t>
        </is>
      </c>
      <c r="D111" s="5" t="inlineStr">
        <is>
          <t>CAJPRD</t>
        </is>
      </c>
      <c r="E111" s="7" t="inlineStr">
        <is>
          <t>20614855194</t>
        </is>
      </c>
      <c r="F111" s="6" t="inlineStr">
        <is>
          <t>Recién Constituidas</t>
        </is>
      </c>
      <c r="G111" s="5" t="inlineStr">
        <is>
          <t>CAJPRD-C-000029-2026</t>
        </is>
      </c>
      <c r="H111" s="6" t="inlineStr">
        <is>
          <t>Ayacucho/Huamanga/ Ayacucho</t>
        </is>
      </c>
      <c r="I111" s="5" t="inlineStr">
        <is>
          <t>Habilitado</t>
        </is>
      </c>
    </row>
    <row r="112" ht="25" customHeight="1">
      <c r="A112" s="8" t="n">
        <v>108</v>
      </c>
      <c r="B112" s="9" t="inlineStr">
        <is>
          <t>17/04/2026</t>
        </is>
      </c>
      <c r="C112" s="10" t="inlineStr">
        <is>
          <t>Asociación del Comercio CEGK</t>
        </is>
      </c>
      <c r="D112" s="9" t="inlineStr">
        <is>
          <t>IA</t>
        </is>
      </c>
      <c r="E112" s="11" t="inlineStr">
        <is>
          <t>20603945523</t>
        </is>
      </c>
      <c r="F112" s="10" t="inlineStr">
        <is>
          <t>Recién Constituidas</t>
        </is>
      </c>
      <c r="G112" s="9" t="inlineStr">
        <is>
          <t>IA-C-000047-2026</t>
        </is>
      </c>
      <c r="H112" s="10" t="inlineStr">
        <is>
          <t>Lima/Lima/Lurigancho</t>
        </is>
      </c>
      <c r="I112" s="9" t="inlineStr">
        <is>
          <t>Habilitado</t>
        </is>
      </c>
    </row>
    <row r="113" ht="25" customHeight="1">
      <c r="A113" s="4" t="n">
        <v>109</v>
      </c>
      <c r="B113" s="5" t="inlineStr">
        <is>
          <t>21/04/2026</t>
        </is>
      </c>
      <c r="C113" s="6" t="inlineStr">
        <is>
          <t>Colegio De Ingenieros Del Perú - Consejo Departamental Piura</t>
        </is>
      </c>
      <c r="D113" s="5" t="inlineStr">
        <is>
          <t>CAJPRD</t>
        </is>
      </c>
      <c r="E113" s="7" t="inlineStr">
        <is>
          <t>20222225206</t>
        </is>
      </c>
      <c r="F113" s="6" t="inlineStr">
        <is>
          <t>Contratos con montos originales que superen las 2 000 UITS</t>
        </is>
      </c>
      <c r="G113" s="5" t="inlineStr">
        <is>
          <t>CAJPRD-B-000031-2026</t>
        </is>
      </c>
      <c r="H113" s="6" t="inlineStr">
        <is>
          <t>Piura/Piura/Piura</t>
        </is>
      </c>
      <c r="I113" s="5" t="inlineStr">
        <is>
          <t>Habilitado</t>
        </is>
      </c>
    </row>
    <row r="114" ht="25" customHeight="1">
      <c r="A114" s="8" t="n">
        <v>110</v>
      </c>
      <c r="B114" s="9" t="inlineStr">
        <is>
          <t>24/04/2026</t>
        </is>
      </c>
      <c r="C114" s="10" t="inlineStr">
        <is>
          <t>Cámara de Comercio Y Producción de Cajamarca</t>
        </is>
      </c>
      <c r="D114" s="9" t="inlineStr">
        <is>
          <t>CAJPRD</t>
        </is>
      </c>
      <c r="E114" s="11" t="inlineStr">
        <is>
          <t>20175089030</t>
        </is>
      </c>
      <c r="F114" s="10" t="inlineStr">
        <is>
          <t>Recién Constituidas</t>
        </is>
      </c>
      <c r="G114" s="9" t="inlineStr">
        <is>
          <t>CAJPRD-C-000032-2026</t>
        </is>
      </c>
      <c r="H114" s="10" t="inlineStr">
        <is>
          <t>Cajamarca/Cajamarca/Cajamarca</t>
        </is>
      </c>
      <c r="I114" s="9" t="inlineStr">
        <is>
          <t>Habilitado</t>
        </is>
      </c>
    </row>
    <row r="115" ht="25" customHeight="1">
      <c r="A115" s="4" t="n">
        <v>111</v>
      </c>
      <c r="B115" s="5" t="inlineStr">
        <is>
          <t>27/04/2026</t>
        </is>
      </c>
      <c r="C115" s="6" t="inlineStr">
        <is>
          <t>Ángulo de Pina &amp; Asociados Centro de Conciliación Arbitraje y Asesoría Jurídico Contable S A.C.</t>
        </is>
      </c>
      <c r="D115" s="5" t="inlineStr">
        <is>
          <t>CAJPRD</t>
        </is>
      </c>
      <c r="E115" s="7" t="inlineStr">
        <is>
          <t>20612770400</t>
        </is>
      </c>
      <c r="F115" s="6" t="inlineStr">
        <is>
          <t>Recién Constituidas</t>
        </is>
      </c>
      <c r="G115" s="5" t="inlineStr">
        <is>
          <t>CAJPRD-C-000033-2026</t>
        </is>
      </c>
      <c r="H115" s="6" t="inlineStr">
        <is>
          <t>La Libertad/Trujillo/Victor Larco Herrera</t>
        </is>
      </c>
      <c r="I115" s="5" t="inlineStr">
        <is>
          <t>Habilitado</t>
        </is>
      </c>
    </row>
    <row r="116" ht="25" customHeight="1">
      <c r="A116" s="8" t="n">
        <v>112</v>
      </c>
      <c r="B116" s="9" t="inlineStr">
        <is>
          <t>28/04/2026</t>
        </is>
      </c>
      <c r="C116" s="10" t="inlineStr">
        <is>
          <t>Cámara de Comercio y Producción de la Libertad</t>
        </is>
      </c>
      <c r="D116" s="9" t="inlineStr">
        <is>
          <t>IA</t>
        </is>
      </c>
      <c r="E116" s="11" t="inlineStr">
        <is>
          <t>20146824499</t>
        </is>
      </c>
      <c r="F116" s="10" t="inlineStr">
        <is>
          <t>Contratos con montos originales que superen las 2 000 UITS</t>
        </is>
      </c>
      <c r="G116" s="9" t="inlineStr">
        <is>
          <t>IA-B-000048-2026</t>
        </is>
      </c>
      <c r="H116" s="10" t="inlineStr">
        <is>
          <t>La Libertad/ Trujillo/ Trujillo</t>
        </is>
      </c>
      <c r="I116" s="9" t="inlineStr">
        <is>
          <t>Habilitado</t>
        </is>
      </c>
    </row>
    <row r="117" ht="25" customHeight="1">
      <c r="A117" s="4" t="n">
        <v>113</v>
      </c>
      <c r="B117" s="5" t="inlineStr">
        <is>
          <t>04/05/2026</t>
        </is>
      </c>
      <c r="C117" s="6" t="inlineStr">
        <is>
          <t>Ángulo De Pina &amp; Asociados Centro de Conciliación Arbitraje y Asesoría Jurídico Contable S A.C.</t>
        </is>
      </c>
      <c r="D117" s="5" t="inlineStr">
        <is>
          <t>IA</t>
        </is>
      </c>
      <c r="E117" s="7" t="inlineStr">
        <is>
          <t>20612770400</t>
        </is>
      </c>
      <c r="F117" s="6" t="inlineStr">
        <is>
          <t>Recién Constituidas</t>
        </is>
      </c>
      <c r="G117" s="5" t="inlineStr">
        <is>
          <t>IA-C-000049-2026</t>
        </is>
      </c>
      <c r="H117" s="6" t="inlineStr">
        <is>
          <t>La Libertad/Trujillo/Victor Larco Herrera</t>
        </is>
      </c>
      <c r="I117" s="5" t="inlineStr">
        <is>
          <t>Habilitado</t>
        </is>
      </c>
    </row>
    <row r="118" ht="25" customHeight="1">
      <c r="A118" s="8" t="n">
        <v>114</v>
      </c>
      <c r="B118" s="9" t="inlineStr">
        <is>
          <t>15/05/2026</t>
        </is>
      </c>
      <c r="C118" s="10" t="inlineStr">
        <is>
          <t>Corte de Administración de Justicia en Arbitraje S.A.C. - Corte de Arbitraje</t>
        </is>
      </c>
      <c r="D118" s="9" t="inlineStr">
        <is>
          <t>IA</t>
        </is>
      </c>
      <c r="E118" s="11" t="inlineStr">
        <is>
          <t>20609447568</t>
        </is>
      </c>
      <c r="F118" s="10" t="inlineStr">
        <is>
          <t>Recién Constituidas</t>
        </is>
      </c>
      <c r="G118" s="9" t="inlineStr">
        <is>
          <t>IA-C-000001-2026</t>
        </is>
      </c>
      <c r="H118" s="10" t="inlineStr">
        <is>
          <t>Lima/Lima/Jesus Maria</t>
        </is>
      </c>
      <c r="I118" s="9" t="inlineStr">
        <is>
          <t>Habilitado</t>
        </is>
      </c>
    </row>
    <row r="119" ht="25" customHeight="1">
      <c r="A119" s="4" t="n">
        <v>115</v>
      </c>
      <c r="B119" s="5" t="inlineStr">
        <is>
          <t>15/05/2026</t>
        </is>
      </c>
      <c r="C119" s="6" t="inlineStr">
        <is>
          <t>Cámara de Comercio y de Producción de La Libertad</t>
        </is>
      </c>
      <c r="D119" s="5" t="inlineStr">
        <is>
          <t>CAJPRD</t>
        </is>
      </c>
      <c r="E119" s="7" t="inlineStr">
        <is>
          <t>20146824499</t>
        </is>
      </c>
      <c r="F119" s="6" t="inlineStr">
        <is>
          <t>Recién Constituidas</t>
        </is>
      </c>
      <c r="G119" s="5" t="inlineStr">
        <is>
          <t>CAJPRD-C-000001-2026</t>
        </is>
      </c>
      <c r="H119" s="6" t="inlineStr">
        <is>
          <t>La Libertad/Trujillo/Trujillo</t>
        </is>
      </c>
      <c r="I119" s="5" t="inlineStr">
        <is>
          <t>Habilitado</t>
        </is>
      </c>
    </row>
    <row r="120" ht="25" customHeight="1">
      <c r="A120" s="8" t="n">
        <v>116</v>
      </c>
      <c r="B120" s="9" t="inlineStr">
        <is>
          <t>18/05/2026</t>
        </is>
      </c>
      <c r="C120" s="10" t="inlineStr">
        <is>
          <t>Centro de Arbitraje y Resolución de Controversias Integra S.A.C.</t>
        </is>
      </c>
      <c r="D120" s="9" t="inlineStr">
        <is>
          <t>IA</t>
        </is>
      </c>
      <c r="E120" s="11" t="inlineStr">
        <is>
          <t>20613053442</t>
        </is>
      </c>
      <c r="F120" s="10" t="inlineStr">
        <is>
          <t>Recién Constituidas</t>
        </is>
      </c>
      <c r="G120" s="9" t="inlineStr">
        <is>
          <t>IA-C-000002-2026</t>
        </is>
      </c>
      <c r="H120" s="10" t="inlineStr">
        <is>
          <t>La Libertad/Trujillo/Trujillo</t>
        </is>
      </c>
      <c r="I120" s="9" t="inlineStr">
        <is>
          <t>Habilitado</t>
        </is>
      </c>
    </row>
    <row r="121" ht="25" customHeight="1">
      <c r="A121" s="4" t="n">
        <v>117</v>
      </c>
      <c r="B121" s="5" t="inlineStr">
        <is>
          <t>20/05/2026</t>
        </is>
      </c>
      <c r="C121" s="6" t="inlineStr">
        <is>
          <t>Centro de Altos Estudios de Fomento y Capacitación - CIES</t>
        </is>
      </c>
      <c r="D121" s="5" t="inlineStr">
        <is>
          <t>CAJPRD</t>
        </is>
      </c>
      <c r="E121" s="7" t="inlineStr">
        <is>
          <t>20603486898</t>
        </is>
      </c>
      <c r="F121" s="6" t="inlineStr">
        <is>
          <t>Recién Constituidas</t>
        </is>
      </c>
      <c r="G121" s="5" t="inlineStr">
        <is>
          <t>CAJPRD-C-000034-2026</t>
        </is>
      </c>
      <c r="H121" s="6" t="inlineStr">
        <is>
          <t>Lima/Lima/La Molina</t>
        </is>
      </c>
      <c r="I121" s="5" t="inlineStr">
        <is>
          <t>Habilitado</t>
        </is>
      </c>
    </row>
    <row r="122" ht="25" customHeight="1">
      <c r="A122" s="8" t="n">
        <v>118</v>
      </c>
      <c r="B122" s="9" t="inlineStr">
        <is>
          <t>25/05/2026</t>
        </is>
      </c>
      <c r="C122" s="10" t="inlineStr">
        <is>
          <t>Cámara de Comercio, Industria y Producción de TACNA</t>
        </is>
      </c>
      <c r="D122" s="9" t="inlineStr">
        <is>
          <t>IA</t>
        </is>
      </c>
      <c r="E122" s="11" t="inlineStr">
        <is>
          <t>20119361991</t>
        </is>
      </c>
      <c r="F122" s="10" t="inlineStr">
        <is>
          <t>Contratos con montos originales que superen las 2 000 UITS</t>
        </is>
      </c>
      <c r="G122" s="9" t="inlineStr">
        <is>
          <t>IA-B-000050-2026</t>
        </is>
      </c>
      <c r="H122" s="10" t="inlineStr">
        <is>
          <t>Tacna/Tacna/Tacna</t>
        </is>
      </c>
      <c r="I122" s="9" t="inlineStr">
        <is>
          <t>Habilitado</t>
        </is>
      </c>
    </row>
    <row r="123" ht="25" customHeight="1">
      <c r="A123" s="4" t="n">
        <v>119</v>
      </c>
      <c r="B123" s="5" t="inlineStr">
        <is>
          <t>28/05/2026</t>
        </is>
      </c>
      <c r="C123" s="6" t="inlineStr">
        <is>
          <t>Instituto Nacional de Arbitraje y Prevención y Resolución de Disputas S.A.C. INAPRED SAC</t>
        </is>
      </c>
      <c r="D123" s="5" t="inlineStr">
        <is>
          <t>CAJPRD</t>
        </is>
      </c>
      <c r="E123" s="7" t="inlineStr">
        <is>
          <t>20615431207</t>
        </is>
      </c>
      <c r="F123" s="6" t="inlineStr">
        <is>
          <t>Recién Constituidas</t>
        </is>
      </c>
      <c r="G123" s="5" t="inlineStr">
        <is>
          <t>CAJPRD-C-000035-2026</t>
        </is>
      </c>
      <c r="H123" s="6" t="inlineStr">
        <is>
          <t>Lima/Lima/San isidro</t>
        </is>
      </c>
      <c r="I123" s="5" t="inlineStr">
        <is>
          <t>Habilitado</t>
        </is>
      </c>
    </row>
    <row r="124" ht="25" customHeight="1">
      <c r="A124" s="8" t="n">
        <v>120</v>
      </c>
      <c r="B124" s="9" t="inlineStr">
        <is>
          <t>01/06/2026</t>
        </is>
      </c>
      <c r="C124" s="10" t="inlineStr">
        <is>
          <t>Instituto Nacional de Arbitraje y Prevención y Resolución de Disputas S.A.C. INAPRED SAC</t>
        </is>
      </c>
      <c r="D124" s="9" t="inlineStr">
        <is>
          <t>IA</t>
        </is>
      </c>
      <c r="E124" s="11" t="inlineStr">
        <is>
          <t>20615431207</t>
        </is>
      </c>
      <c r="F124" s="10" t="inlineStr">
        <is>
          <t>Recién Constituidas</t>
        </is>
      </c>
      <c r="G124" s="9" t="inlineStr">
        <is>
          <t>IA-C-000051-2026</t>
        </is>
      </c>
      <c r="H124" s="10" t="inlineStr">
        <is>
          <t>Lima/Lima/San isidro</t>
        </is>
      </c>
      <c r="I124" s="9" t="inlineStr">
        <is>
          <t>Habilitado</t>
        </is>
      </c>
    </row>
    <row r="125" ht="25" customHeight="1">
      <c r="A125" s="4" t="n">
        <v>121</v>
      </c>
      <c r="B125" s="5" t="inlineStr">
        <is>
          <t>02/06/2026</t>
        </is>
      </c>
      <c r="C125" s="6" t="inlineStr">
        <is>
          <t>Centro Nacional e Internacional de Análisis y Resolución de Disputas alternativas del Comercio S.A.C</t>
        </is>
      </c>
      <c r="D125" s="5" t="inlineStr">
        <is>
          <t>IA</t>
        </is>
      </c>
      <c r="E125" s="7" t="inlineStr">
        <is>
          <t>20604210357</t>
        </is>
      </c>
      <c r="F125" s="6" t="inlineStr">
        <is>
          <t>Contratos con montos originales que superen las 2 000 UITS (antes Recién Constituidas 23/02/2026)</t>
        </is>
      </c>
      <c r="G125" s="5" t="inlineStr">
        <is>
          <t>IA-B-000052-2026 (antes IA-C-000026-2026)</t>
        </is>
      </c>
      <c r="H125" s="6" t="inlineStr">
        <is>
          <t>Lima/Lima/Ancón</t>
        </is>
      </c>
      <c r="I125" s="5" t="inlineStr">
        <is>
          <t>Habilitado</t>
        </is>
      </c>
    </row>
    <row r="126" ht="25" customHeight="1">
      <c r="A126" s="8" t="n">
        <v>122</v>
      </c>
      <c r="B126" s="9" t="inlineStr">
        <is>
          <t>08/06/2026</t>
        </is>
      </c>
      <c r="C126" s="10" t="inlineStr">
        <is>
          <t>Centro de Arbitraje y Resolución de Conflictos ACIR Internacional S.A.C.</t>
        </is>
      </c>
      <c r="D126" s="9" t="inlineStr">
        <is>
          <t>CAJPRD</t>
        </is>
      </c>
      <c r="E126" s="11" t="inlineStr">
        <is>
          <t>20608669893</t>
        </is>
      </c>
      <c r="F126" s="10" t="inlineStr">
        <is>
          <t>Recién constituidas</t>
        </is>
      </c>
      <c r="G126" s="9" t="inlineStr">
        <is>
          <t>CAJPRD-C-000036-2026</t>
        </is>
      </c>
      <c r="H126" s="10" t="inlineStr">
        <is>
          <t>Lambayeque/Chiclayo/ Chiclayo</t>
        </is>
      </c>
      <c r="I126" s="9" t="inlineStr">
        <is>
          <t>Habilitado</t>
        </is>
      </c>
    </row>
    <row r="127" ht="25" customHeight="1">
      <c r="A127" s="4" t="n">
        <v>123</v>
      </c>
      <c r="B127" s="5" t="inlineStr">
        <is>
          <t>23/06/2026</t>
        </is>
      </c>
      <c r="C127" s="6" t="inlineStr">
        <is>
          <t>Asociación Jurídica de la Cámara de Comercio e Industria de Apurímac</t>
        </is>
      </c>
      <c r="D127" s="5" t="inlineStr">
        <is>
          <t>CAJPRD</t>
        </is>
      </c>
      <c r="E127" s="7" t="inlineStr">
        <is>
          <t>20609020963</t>
        </is>
      </c>
      <c r="F127" s="6" t="inlineStr">
        <is>
          <t>Recién constituidas</t>
        </is>
      </c>
      <c r="G127" s="5" t="inlineStr">
        <is>
          <t>CAJPRD-C-000037-2026</t>
        </is>
      </c>
      <c r="H127" s="6" t="inlineStr">
        <is>
          <t>Apurimac/Abancay/Abancay</t>
        </is>
      </c>
      <c r="I127" s="5" t="inlineStr">
        <is>
          <t>Habilitado</t>
        </is>
      </c>
    </row>
    <row r="128" ht="25" customHeight="1">
      <c r="A128" s="8" t="n">
        <v>124</v>
      </c>
      <c r="B128" s="9" t="inlineStr">
        <is>
          <t>30/06/2026</t>
        </is>
      </c>
      <c r="C128" s="10" t="inlineStr">
        <is>
          <t>Asociación Zambrano</t>
        </is>
      </c>
      <c r="D128" s="9" t="inlineStr">
        <is>
          <t>IA</t>
        </is>
      </c>
      <c r="E128" s="11" t="inlineStr">
        <is>
          <t>20450537099</t>
        </is>
      </c>
      <c r="F128" s="10" t="inlineStr">
        <is>
          <t>Ordinaria</t>
        </is>
      </c>
      <c r="G128" s="9" t="inlineStr">
        <is>
          <t>IA-A-000054-2026</t>
        </is>
      </c>
      <c r="H128" s="10" t="inlineStr">
        <is>
          <t>Cusco/Cusco/Cusco</t>
        </is>
      </c>
      <c r="I128" s="9" t="inlineStr">
        <is>
          <t>Habilitado</t>
        </is>
      </c>
    </row>
    <row r="129" ht="25" customHeight="1">
      <c r="A129" s="4" t="n">
        <v>125</v>
      </c>
      <c r="B129" s="5" t="inlineStr">
        <is>
          <t>10/07/2026</t>
        </is>
      </c>
      <c r="C129" s="6" t="inlineStr">
        <is>
          <t>Centro Internacional de Arbitraje y Juntas de Prevención de Resolución de Disputas Peru S.R.L</t>
        </is>
      </c>
      <c r="D129" s="5" t="inlineStr">
        <is>
          <t>CAJPRD</t>
        </is>
      </c>
      <c r="E129" s="7" t="inlineStr">
        <is>
          <t>20615752470</t>
        </is>
      </c>
      <c r="F129" s="6" t="inlineStr">
        <is>
          <t>Recién constituidas</t>
        </is>
      </c>
      <c r="G129" s="5" t="inlineStr">
        <is>
          <t>CAJPRD-C-000038-2026</t>
        </is>
      </c>
      <c r="H129" s="6" t="inlineStr">
        <is>
          <t>Ucayali/Coronel portillo/Yarinacocha</t>
        </is>
      </c>
      <c r="I129" s="5" t="inlineStr">
        <is>
          <t>Habilitado</t>
        </is>
      </c>
    </row>
    <row r="130" ht="25" customHeight="1">
      <c r="A130" s="8" t="n">
        <v>126</v>
      </c>
      <c r="B130" s="9" t="inlineStr">
        <is>
          <t>10/07/2026</t>
        </is>
      </c>
      <c r="C130" s="10" t="inlineStr">
        <is>
          <t>Centro Internacional de Arbitraje y Juntas de Prevención de Resolución de Disputas Peru S.R.L</t>
        </is>
      </c>
      <c r="D130" s="9" t="inlineStr">
        <is>
          <t>IA</t>
        </is>
      </c>
      <c r="E130" s="11" t="inlineStr">
        <is>
          <t>20615752470</t>
        </is>
      </c>
      <c r="F130" s="10" t="inlineStr">
        <is>
          <t>Recién constituidas</t>
        </is>
      </c>
      <c r="G130" s="9" t="inlineStr">
        <is>
          <t>IA-A-000055-2026</t>
        </is>
      </c>
      <c r="H130" s="10" t="inlineStr">
        <is>
          <t>Ucayali/Coronel portillo/Yarinacocha</t>
        </is>
      </c>
      <c r="I130" s="9" t="inlineStr">
        <is>
          <t>Habilitado</t>
        </is>
      </c>
    </row>
    <row r="131" ht="25" customHeight="1">
      <c r="A131" s="4" t="n">
        <v>127</v>
      </c>
      <c r="B131" s="5" t="inlineStr">
        <is>
          <t>10/07/2026</t>
        </is>
      </c>
      <c r="C131" s="6" t="inlineStr">
        <is>
          <t>Asociación Zambrano</t>
        </is>
      </c>
      <c r="D131" s="5" t="inlineStr">
        <is>
          <t>CAJPRD</t>
        </is>
      </c>
      <c r="E131" s="7" t="inlineStr">
        <is>
          <t>20450537099</t>
        </is>
      </c>
      <c r="F131" s="6" t="inlineStr">
        <is>
          <t>Recién constituidas</t>
        </is>
      </c>
      <c r="G131" s="5" t="inlineStr">
        <is>
          <t>CAJPRD-C-000039-2026</t>
        </is>
      </c>
      <c r="H131" s="6" t="inlineStr">
        <is>
          <t>Cusco/Cusco/Cusco</t>
        </is>
      </c>
      <c r="I131" s="5" t="inlineStr">
        <is>
          <t>Habilitado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2" t="inlineStr">
        <is>
          <t>Resumen del Registro REGAJU</t>
        </is>
      </c>
    </row>
    <row r="3">
      <c r="A3" s="3" t="inlineStr">
        <is>
          <t>Métrica</t>
        </is>
      </c>
      <c r="B3" s="3" t="inlineStr">
        <is>
          <t>Valor</t>
        </is>
      </c>
    </row>
    <row r="4">
      <c r="A4" s="13" t="inlineStr">
        <is>
          <t>Total Registros</t>
        </is>
      </c>
      <c r="B4" s="14">
        <f>COUNTA('Registro REGAJU'!A5:A131)</f>
        <v/>
      </c>
    </row>
    <row r="5">
      <c r="A5" s="13" t="inlineStr">
        <is>
          <t>Instituciones Arbitrales (IA)</t>
        </is>
      </c>
      <c r="B5" s="14">
        <f>COUNTIF('Registro REGAJU'!D5:D131, "IA")</f>
        <v/>
      </c>
    </row>
    <row r="6">
      <c r="A6" s="13" t="inlineStr">
        <is>
          <t>Centros de Administración de JPRD (CAJPRD)</t>
        </is>
      </c>
      <c r="B6" s="14">
        <f>COUNTIF('Registro REGAJU'!D5:D131, "CAJPRD")</f>
        <v/>
      </c>
    </row>
    <row r="7">
      <c r="A7" s="13" t="inlineStr">
        <is>
          <t>Registros Habilitados</t>
        </is>
      </c>
      <c r="B7" s="14">
        <f>COUNTIF('Registro REGAJU'!I5:I131, "Habilitado")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2026-08-07T21:25:00Z</dcterms:created>
  <dcterms:modified xmlns:dcterms="http://purl.org/dc/terms/" xmlns:xsi="http://www.w3.org/2001/XMLSchema-instance" xsi:type="dcterms:W3CDTF">2026-08-07T21:25:00Z</dcterms:modified>
</cp:coreProperties>
</file>